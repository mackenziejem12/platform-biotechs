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kenziemorehead/Documents/"/>
    </mc:Choice>
  </mc:AlternateContent>
  <xr:revisionPtr revIDLastSave="0" documentId="8_{A833D960-B2B8-FA4C-A060-53741A2139D5}" xr6:coauthVersionLast="47" xr6:coauthVersionMax="47" xr10:uidLastSave="{00000000-0000-0000-0000-000000000000}"/>
  <bookViews>
    <workbookView xWindow="0" yWindow="760" windowWidth="30240" windowHeight="18880" xr2:uid="{6BA74795-4717-5945-80DD-E84F7F02311B}"/>
  </bookViews>
  <sheets>
    <sheet name="Master" sheetId="19" r:id="rId1"/>
    <sheet name="Genentech" sheetId="15" r:id="rId2"/>
    <sheet name="Regeneron" sheetId="1" r:id="rId3"/>
    <sheet name="Moderna" sheetId="10" r:id="rId4"/>
    <sheet name="Seagen" sheetId="2" r:id="rId5"/>
    <sheet name="Alnylam" sheetId="4" r:id="rId6"/>
    <sheet name="Ionis" sheetId="13" r:id="rId7"/>
    <sheet name="Amgen" sheetId="21" r:id="rId8"/>
    <sheet name="Biogen" sheetId="22" r:id="rId9"/>
    <sheet name="Vertex" sheetId="20" r:id="rId10"/>
    <sheet name="Agios" sheetId="23" r:id="rId11"/>
    <sheet name="Millennium" sheetId="12" r:id="rId12"/>
    <sheet name="RelayTx" sheetId="17" r:id="rId13"/>
    <sheet name="DERES" sheetId="18" r:id="rId14"/>
    <sheet name="Roivant" sheetId="3" r:id="rId15"/>
    <sheet name="PureTech" sheetId="14" r:id="rId16"/>
    <sheet name="Biohaven" sheetId="9" r:id="rId17"/>
    <sheet name="BridgeBio" sheetId="7" r:id="rId18"/>
    <sheet name="ElevateBio" sheetId="5" r:id="rId19"/>
    <sheet name="Nimbus" sheetId="6" r:id="rId20"/>
    <sheet name="Gossamer" sheetId="8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7" i="21" l="1"/>
  <c r="I127" i="21"/>
  <c r="J126" i="21"/>
  <c r="I126" i="21"/>
  <c r="C126" i="21"/>
  <c r="H58" i="22"/>
  <c r="G58" i="22"/>
  <c r="H57" i="22"/>
  <c r="G7" i="22"/>
  <c r="G57" i="22" s="1"/>
  <c r="B57" i="22"/>
  <c r="I12" i="23"/>
  <c r="B12" i="23"/>
  <c r="J17" i="19" l="1"/>
  <c r="I17" i="19"/>
  <c r="E17" i="19"/>
  <c r="D35" i="20"/>
  <c r="D36" i="20"/>
  <c r="H36" i="20"/>
  <c r="G36" i="20"/>
  <c r="H35" i="20"/>
  <c r="G35" i="20"/>
  <c r="I3" i="20"/>
  <c r="I4" i="20"/>
  <c r="I36" i="20" s="1"/>
  <c r="I5" i="20"/>
  <c r="I6" i="20"/>
  <c r="I7" i="20"/>
  <c r="I8" i="20"/>
  <c r="I9" i="20"/>
  <c r="I10" i="20"/>
  <c r="I2" i="20"/>
  <c r="I20" i="15"/>
  <c r="I19" i="15"/>
  <c r="I17" i="15"/>
  <c r="I15" i="15"/>
  <c r="D18" i="7"/>
  <c r="D19" i="9"/>
  <c r="D15" i="14"/>
  <c r="F18" i="3"/>
  <c r="D47" i="13"/>
  <c r="D42" i="10"/>
  <c r="E34" i="1"/>
  <c r="E63" i="15"/>
  <c r="E62" i="15"/>
  <c r="K5" i="15"/>
  <c r="K6" i="15"/>
  <c r="K7" i="15"/>
  <c r="K12" i="15"/>
  <c r="C17" i="19"/>
  <c r="I17" i="7"/>
  <c r="H17" i="19"/>
  <c r="K18" i="3"/>
  <c r="J18" i="3"/>
  <c r="G26" i="12"/>
  <c r="I47" i="13"/>
  <c r="H47" i="13"/>
  <c r="K25" i="4"/>
  <c r="J25" i="4"/>
  <c r="G30" i="2"/>
  <c r="F30" i="2"/>
  <c r="J63" i="15"/>
  <c r="I63" i="15"/>
  <c r="J62" i="15"/>
  <c r="I62" i="15"/>
  <c r="J34" i="1"/>
  <c r="K34" i="1"/>
  <c r="I34" i="1"/>
  <c r="I33" i="1"/>
  <c r="I46" i="13"/>
  <c r="H46" i="13"/>
  <c r="J5" i="13"/>
  <c r="J6" i="13"/>
  <c r="J7" i="13"/>
  <c r="J8" i="13"/>
  <c r="J9" i="13"/>
  <c r="J10" i="13"/>
  <c r="J4" i="13"/>
  <c r="J47" i="13" s="1"/>
  <c r="J17" i="7"/>
  <c r="H17" i="7"/>
  <c r="I18" i="9"/>
  <c r="H18" i="9"/>
  <c r="K17" i="3"/>
  <c r="J17" i="3"/>
  <c r="L3" i="3"/>
  <c r="L4" i="3"/>
  <c r="L2" i="3"/>
  <c r="J24" i="4"/>
  <c r="K24" i="4"/>
  <c r="L3" i="4"/>
  <c r="L4" i="4"/>
  <c r="L5" i="4"/>
  <c r="L24" i="4" s="1"/>
  <c r="L6" i="4"/>
  <c r="L7" i="4"/>
  <c r="L2" i="4"/>
  <c r="L25" i="4" s="1"/>
  <c r="G25" i="12"/>
  <c r="H3" i="2"/>
  <c r="H4" i="2"/>
  <c r="H5" i="2"/>
  <c r="H2" i="2"/>
  <c r="G29" i="2"/>
  <c r="F29" i="2"/>
  <c r="J33" i="1"/>
  <c r="K3" i="1"/>
  <c r="K6" i="1"/>
  <c r="K7" i="1"/>
  <c r="K8" i="1"/>
  <c r="K9" i="1"/>
  <c r="K10" i="1"/>
  <c r="K11" i="1"/>
  <c r="K13" i="1"/>
  <c r="K2" i="1"/>
  <c r="K33" i="1" s="1"/>
  <c r="I12" i="1"/>
  <c r="K12" i="1" s="1"/>
  <c r="I5" i="1"/>
  <c r="K5" i="1" s="1"/>
  <c r="I4" i="1"/>
  <c r="K4" i="1" s="1"/>
  <c r="K24" i="15"/>
  <c r="K23" i="15"/>
  <c r="K22" i="15"/>
  <c r="K21" i="15"/>
  <c r="K19" i="15"/>
  <c r="K18" i="15"/>
  <c r="K13" i="15"/>
  <c r="K11" i="15"/>
  <c r="K10" i="15"/>
  <c r="K9" i="15"/>
  <c r="K8" i="15"/>
  <c r="K3" i="15"/>
  <c r="K4" i="15"/>
  <c r="K2" i="15"/>
  <c r="B18" i="9"/>
  <c r="C62" i="15"/>
  <c r="B46" i="13"/>
  <c r="B14" i="14"/>
  <c r="B25" i="12"/>
  <c r="D24" i="4"/>
  <c r="C33" i="1"/>
  <c r="B17" i="7"/>
  <c r="D17" i="3"/>
  <c r="B29" i="2"/>
  <c r="I35" i="20" l="1"/>
  <c r="L17" i="3"/>
  <c r="L18" i="3"/>
  <c r="J46" i="13"/>
  <c r="K62" i="15"/>
  <c r="K63" i="15"/>
  <c r="H30" i="2"/>
  <c r="H29" i="2"/>
</calcChain>
</file>

<file path=xl/sharedStrings.xml><?xml version="1.0" encoding="utf-8"?>
<sst xmlns="http://schemas.openxmlformats.org/spreadsheetml/2006/main" count="4088" uniqueCount="2776">
  <si>
    <t>Molecule</t>
  </si>
  <si>
    <t>Also Known As / Brand</t>
  </si>
  <si>
    <t>Approved (Y/N)</t>
  </si>
  <si>
    <t>Earliest Approval (Date, Region)</t>
  </si>
  <si>
    <t>Key Trial (example NCT)</t>
  </si>
  <si>
    <t>Target / Mechanism</t>
  </si>
  <si>
    <t>Primary Indication(s)</t>
  </si>
  <si>
    <t>Peak Sales Year</t>
  </si>
  <si>
    <t>Notes</t>
  </si>
  <si>
    <t>Aflibercept</t>
  </si>
  <si>
    <t>Y</t>
  </si>
  <si>
    <t>2011-11-18 (US, EYLEA)</t>
  </si>
  <si>
    <t>VEGF-A/VEGF-B/PlGF trap (VEGFR1/2-Fc fusion)</t>
  </si>
  <si>
    <t>Global sales include US (Regeneron) + ex-US (Bayer).</t>
  </si>
  <si>
    <t>Dupilumab</t>
  </si>
  <si>
    <t>Dupixent¬Æ</t>
  </si>
  <si>
    <t>2017-03-28 (US)</t>
  </si>
  <si>
    <t>AD; asthma; CRSwNP; EoE; PN; CSU; COPD</t>
  </si>
  <si>
    <t>Global net sales reported by Sanofi.</t>
  </si>
  <si>
    <t>Alirocumab</t>
  </si>
  <si>
    <t>Praluent¬Æ</t>
  </si>
  <si>
    <t>2015-07-24 (US)</t>
  </si>
  <si>
    <t>PCSK9 mAb</t>
  </si>
  <si>
    <t>Hypercholesterolemia; CV risk reduction</t>
  </si>
  <si>
    <t>Sanofi-reported net sales; likely peak to-date.</t>
  </si>
  <si>
    <t>Sarilumab</t>
  </si>
  <si>
    <t>Kevzara¬Æ</t>
  </si>
  <si>
    <t>2017-05-22 (US)</t>
  </si>
  <si>
    <t>RA; (EU 2024) PMR</t>
  </si>
  <si>
    <t>Cemiplimab</t>
  </si>
  <si>
    <t>Libtayo¬Æ</t>
  </si>
  <si>
    <t>2018-09-28 (US)</t>
  </si>
  <si>
    <t>CSCC; BCC; NSCLC; cervical</t>
  </si>
  <si>
    <t>Global net sales reported by Regeneron.</t>
  </si>
  <si>
    <t>Evinacumab</t>
  </si>
  <si>
    <t>Evkeeza¬Æ (evinacumab-dgnb)</t>
  </si>
  <si>
    <t>2021-02-11 (US)</t>
  </si>
  <si>
    <t>ANGPTL3 mAb</t>
  </si>
  <si>
    <t>HoFH (adjunct)</t>
  </si>
  <si>
    <t>Atoltivimab+Maftivimab+Odesivimab</t>
  </si>
  <si>
    <t>Inmazeb¬Æ</t>
  </si>
  <si>
    <t>2020-10-14 (US)</t>
  </si>
  <si>
    <t>3 mAbs vs Ebola GP</t>
  </si>
  <si>
    <t>Ebola (Zaire)</t>
  </si>
  <si>
    <t>Pozelimab</t>
  </si>
  <si>
    <t>Veopoz‚Ñ¢ (pozelimab-bbfg)</t>
  </si>
  <si>
    <t>2023-08-18 (US)</t>
  </si>
  <si>
    <t>C5 mAb</t>
  </si>
  <si>
    <t>CHAPLE</t>
  </si>
  <si>
    <t>Linvoseltamab</t>
  </si>
  <si>
    <t>2025-07-02 (US)</t>
  </si>
  <si>
    <t>BCMA√óCD3 bispecific</t>
  </si>
  <si>
    <t>R/R multiple myeloma</t>
  </si>
  <si>
    <t>Accelerated approval.</t>
  </si>
  <si>
    <t>Odronextamab</t>
  </si>
  <si>
    <t>Ordspono‚Ñ¢ (EU)</t>
  </si>
  <si>
    <t>Y*</t>
  </si>
  <si>
    <t>2024-08-26 (EU)</t>
  </si>
  <si>
    <t>NCT02290951; NCT03888105</t>
  </si>
  <si>
    <t>CD20√óCD3 bispecific</t>
  </si>
  <si>
    <t>R/R FL &amp; DLBCL (EU)</t>
  </si>
  <si>
    <t>Casirivimab+Imdevimab</t>
  </si>
  <si>
    <t>2021-07-19 (JP); 2021-11-12 (EU)</t>
  </si>
  <si>
    <t>NCT04425629; NCT04426695</t>
  </si>
  <si>
    <t>US: EUA only.</t>
  </si>
  <si>
    <t>Rilonacept</t>
  </si>
  <si>
    <t>ARCALYST¬Æ</t>
  </si>
  <si>
    <t>2008-02-27 (US)</t>
  </si>
  <si>
    <t>CAPS; recurrent pericarditis</t>
  </si>
  <si>
    <t>Marketed by Kiniksa for pericarditis in US.</t>
  </si>
  <si>
    <t>Fasinumab</t>
  </si>
  <si>
    <t>REGN475</t>
  </si>
  <si>
    <t>N</t>
  </si>
  <si>
    <t>NGF mAb</t>
  </si>
  <si>
    <t>Osteoarthritis pain</t>
  </si>
  <si>
    <t>Clinical holds; not approved.</t>
  </si>
  <si>
    <t>Suptavumab</t>
  </si>
  <si>
    <t>REGN2222</t>
  </si>
  <si>
    <t>RSV F mAb</t>
  </si>
  <si>
    <t>RSV prophylaxis</t>
  </si>
  <si>
    <t>Phase 3 failed; discontinued.</t>
  </si>
  <si>
    <t>Nesvacumab</t>
  </si>
  <si>
    <t>NCT01997164; NCT01688960</t>
  </si>
  <si>
    <t>Ang2 mAb</t>
  </si>
  <si>
    <t>DME/nAMD; oncology (early)</t>
  </si>
  <si>
    <t>No approval.</t>
  </si>
  <si>
    <t>Enoticumab</t>
  </si>
  <si>
    <t>REGN421</t>
  </si>
  <si>
    <t>DLL4 mAb</t>
  </si>
  <si>
    <t>Advanced solid tumors</t>
  </si>
  <si>
    <t>FIH Phase 1 completed.</t>
  </si>
  <si>
    <t>REGN1400</t>
  </si>
  <si>
    <t>NCT01727869</t>
  </si>
  <si>
    <t>ERBB3 mAb</t>
  </si>
  <si>
    <t>REGN2009</t>
  </si>
  <si>
    <t>undisclosed mAb</t>
  </si>
  <si>
    <t>NCT01893528</t>
  </si>
  <si>
    <t>mAb (undisclosed)</t>
  </si>
  <si>
    <t>‚Äî</t>
  </si>
  <si>
    <t>Phase 1 HV.</t>
  </si>
  <si>
    <t>Crotedumab</t>
  </si>
  <si>
    <t>REGN1193</t>
  </si>
  <si>
    <t>Glucagon receptor mAb</t>
  </si>
  <si>
    <t>Metabolic disease</t>
  </si>
  <si>
    <t>Entered clinic ~2013.</t>
  </si>
  <si>
    <t>Trevogrumab</t>
  </si>
  <si>
    <t>REGN1033</t>
  </si>
  <si>
    <t>GDF8 (myostatin) mAb</t>
  </si>
  <si>
    <t>Sarcopenia/IBM</t>
  </si>
  <si>
    <t>IBM Phase 2 with REGN2477 cancelled.</t>
  </si>
  <si>
    <t>REGN2176</t>
  </si>
  <si>
    <t>Retinal vascular disease</t>
  </si>
  <si>
    <t>Neutralizes cat allergen</t>
  </si>
  <si>
    <t>Cat allergy</t>
  </si>
  <si>
    <t>REGN3048 + REGN3051</t>
  </si>
  <si>
    <t>NCT04128059; NCT04109066</t>
  </si>
  <si>
    <t>Neutralizing mAbs</t>
  </si>
  <si>
    <t>MERS</t>
  </si>
  <si>
    <t>Garetosmab</t>
  </si>
  <si>
    <t>REGN2477</t>
  </si>
  <si>
    <t>Activin A mAb</t>
  </si>
  <si>
    <t>FOP</t>
  </si>
  <si>
    <t>Positive Ph2 signal; no approval.</t>
  </si>
  <si>
    <t>REGN7257</t>
  </si>
  <si>
    <t>Immune/autoimmune</t>
  </si>
  <si>
    <t>REGN5093</t>
  </si>
  <si>
    <t>MET√óMET bispecific</t>
  </si>
  <si>
    <t>Bivalent MET bsAb</t>
  </si>
  <si>
    <t>NSCLC (METex14)</t>
  </si>
  <si>
    <t>REGN5668</t>
  </si>
  <si>
    <t>MUC16√óCD28 costim bsAb</t>
  </si>
  <si>
    <t>CD28 costim bispecific</t>
  </si>
  <si>
    <t>Ovarian cancer</t>
  </si>
  <si>
    <t>REGN7075</t>
  </si>
  <si>
    <t>EGFR√óCD28 costim bsAb</t>
  </si>
  <si>
    <t>NCT05116202</t>
  </si>
  <si>
    <t>Solid tumors (combo)</t>
  </si>
  <si>
    <t>Recombinant human CNTF</t>
  </si>
  <si>
    <t>rhCNTF</t>
  </si>
  <si>
    <t>Neurotrophic factor</t>
  </si>
  <si>
    <t>ALS (1990s)</t>
  </si>
  <si>
    <t>Advanced to human trials.</t>
  </si>
  <si>
    <t>BDNF</t>
  </si>
  <si>
    <t>Axokine</t>
  </si>
  <si>
    <t>CNTF variant</t>
  </si>
  <si>
    <t>Modified CNTF protein</t>
  </si>
  <si>
    <t>Obesity (Phase 3)</t>
  </si>
  <si>
    <t>Molecule (Seagen code)</t>
  </si>
  <si>
    <t>Approved?</t>
  </si>
  <si>
    <t>First U.S. approval date</t>
  </si>
  <si>
    <t>First/Key clinical trial ID (source)</t>
  </si>
  <si>
    <r>
      <t>Brentuximab vedotin</t>
    </r>
    <r>
      <rPr>
        <sz val="12"/>
        <color theme="1"/>
        <rFont val="Aptos Narrow"/>
        <family val="2"/>
        <scheme val="minor"/>
      </rPr>
      <t xml:space="preserve"> (Adcetris; </t>
    </r>
    <r>
      <rPr>
        <b/>
        <sz val="12"/>
        <color theme="1"/>
        <rFont val="Aptos Narrow"/>
        <family val="2"/>
        <scheme val="minor"/>
      </rPr>
      <t>SGN‑35</t>
    </r>
    <r>
      <rPr>
        <sz val="12"/>
        <color theme="1"/>
        <rFont val="Aptos Narrow"/>
        <family val="2"/>
        <scheme val="minor"/>
      </rPr>
      <t>)</t>
    </r>
  </si>
  <si>
    <t>2011‑08‑19 (PubMed)</t>
  </si>
  <si>
    <r>
      <t>NCT00430846</t>
    </r>
    <r>
      <rPr>
        <sz val="12"/>
        <color theme="1"/>
        <rFont val="Aptos Narrow"/>
        <family val="2"/>
        <scheme val="minor"/>
      </rPr>
      <t xml:space="preserve"> (first‑in‑human)</t>
    </r>
  </si>
  <si>
    <r>
      <t>Enfortumab vedotin</t>
    </r>
    <r>
      <rPr>
        <sz val="12"/>
        <color theme="1"/>
        <rFont val="Aptos Narrow"/>
        <family val="2"/>
        <scheme val="minor"/>
      </rPr>
      <t xml:space="preserve"> (Padcev; </t>
    </r>
    <r>
      <rPr>
        <b/>
        <sz val="12"/>
        <color theme="1"/>
        <rFont val="Aptos Narrow"/>
        <family val="2"/>
        <scheme val="minor"/>
      </rPr>
      <t>ASG‑22ME</t>
    </r>
    <r>
      <rPr>
        <sz val="12"/>
        <color theme="1"/>
        <rFont val="Aptos Narrow"/>
        <family val="2"/>
        <scheme val="minor"/>
      </rPr>
      <t>)</t>
    </r>
  </si>
  <si>
    <t>2019‑12‑18 (ClinicalTrials.gov)</t>
  </si>
  <si>
    <r>
      <t>NCT02091999</t>
    </r>
    <r>
      <rPr>
        <sz val="12"/>
        <color theme="1"/>
        <rFont val="Aptos Narrow"/>
        <family val="2"/>
        <scheme val="minor"/>
      </rPr>
      <t xml:space="preserve"> (EV‑101, first‑in‑human)</t>
    </r>
  </si>
  <si>
    <r>
      <t>Tisotumab vedotin</t>
    </r>
    <r>
      <rPr>
        <sz val="12"/>
        <color theme="1"/>
        <rFont val="Aptos Narrow"/>
        <family val="2"/>
        <scheme val="minor"/>
      </rPr>
      <t xml:space="preserve"> (Tivdak)</t>
    </r>
  </si>
  <si>
    <t>2021‑09‑20 (accelerated) (ClinicalTrials.gov)</t>
  </si>
  <si>
    <t>NCT02001623 (first‑in‑human) (PubMed)</t>
  </si>
  <si>
    <r>
      <t>Tucatinib</t>
    </r>
    <r>
      <rPr>
        <sz val="12"/>
        <color theme="1"/>
        <rFont val="Aptos Narrow"/>
        <family val="2"/>
        <scheme val="minor"/>
      </rPr>
      <t xml:space="preserve"> (Tukysa)</t>
    </r>
  </si>
  <si>
    <t>2020‑04‑17 (ClinicalTrials.gov)</t>
  </si>
  <si>
    <t>NCT00650572 (ARRAY‑380‑101 first‑in‑human) (PMC)</t>
  </si>
  <si>
    <r>
      <t>SGN‑10</t>
    </r>
    <r>
      <rPr>
        <sz val="12"/>
        <color theme="1"/>
        <rFont val="Aptos Narrow"/>
        <family val="2"/>
        <scheme val="minor"/>
      </rPr>
      <t xml:space="preserve"> (BR96 sFv‑PE40 immunotoxin)</t>
    </r>
  </si>
  <si>
    <t>—</t>
  </si>
  <si>
    <t>Phase I publication (first‑in‑human; no NCT) (PMC)</t>
  </si>
  <si>
    <r>
      <t>SGN‑15</t>
    </r>
    <r>
      <rPr>
        <sz val="12"/>
        <color theme="1"/>
        <rFont val="Aptos Narrow"/>
        <family val="2"/>
        <scheme val="minor"/>
      </rPr>
      <t xml:space="preserve"> (BR96‑doxorubicin; BMS‑182248‑1)</t>
    </r>
  </si>
  <si>
    <t>Phase I/II publications (no NCT) (ClinicalTrials.gov)</t>
  </si>
  <si>
    <r>
      <t>SGN‑30</t>
    </r>
    <r>
      <rPr>
        <sz val="12"/>
        <color theme="1"/>
        <rFont val="Aptos Narrow"/>
        <family val="2"/>
        <scheme val="minor"/>
      </rPr>
      <t xml:space="preserve"> (cAC10; anti‑CD30 mAb)</t>
    </r>
  </si>
  <si>
    <t>NCT00079755 (ClinicalTrials.gov)</t>
  </si>
  <si>
    <r>
      <t>Lintuzumab</t>
    </r>
    <r>
      <rPr>
        <sz val="12"/>
        <color theme="1"/>
        <rFont val="Aptos Narrow"/>
        <family val="2"/>
        <scheme val="minor"/>
      </rPr>
      <t xml:space="preserve"> (</t>
    </r>
    <r>
      <rPr>
        <b/>
        <sz val="12"/>
        <color theme="1"/>
        <rFont val="Aptos Narrow"/>
        <family val="2"/>
        <scheme val="minor"/>
      </rPr>
      <t>SGN‑33</t>
    </r>
    <r>
      <rPr>
        <sz val="12"/>
        <color theme="1"/>
        <rFont val="Aptos Narrow"/>
        <family val="2"/>
        <scheme val="minor"/>
      </rPr>
      <t>; anti‑CD33 mAb)</t>
    </r>
  </si>
  <si>
    <t>NCT00283114 (Phase 1); later randomized study NCT00528333 (PubMed)</t>
  </si>
  <si>
    <r>
      <t>Dacetuzumab</t>
    </r>
    <r>
      <rPr>
        <sz val="12"/>
        <color theme="1"/>
        <rFont val="Aptos Narrow"/>
        <family val="2"/>
        <scheme val="minor"/>
      </rPr>
      <t xml:space="preserve"> (</t>
    </r>
    <r>
      <rPr>
        <b/>
        <sz val="12"/>
        <color theme="1"/>
        <rFont val="Aptos Narrow"/>
        <family val="2"/>
        <scheme val="minor"/>
      </rPr>
      <t>SGN‑40</t>
    </r>
    <r>
      <rPr>
        <sz val="12"/>
        <color theme="1"/>
        <rFont val="Aptos Narrow"/>
        <family val="2"/>
        <scheme val="minor"/>
      </rPr>
      <t>; anti‑CD40 mAb)</t>
    </r>
  </si>
  <si>
    <t>NCT00103779 (PubMed)</t>
  </si>
  <si>
    <r>
      <t>Vorsetuzumab mafodotin</t>
    </r>
    <r>
      <rPr>
        <sz val="12"/>
        <color theme="1"/>
        <rFont val="Aptos Narrow"/>
        <family val="2"/>
        <scheme val="minor"/>
      </rPr>
      <t xml:space="preserve"> (</t>
    </r>
    <r>
      <rPr>
        <b/>
        <sz val="12"/>
        <color theme="1"/>
        <rFont val="Aptos Narrow"/>
        <family val="2"/>
        <scheme val="minor"/>
      </rPr>
      <t>SGN‑75</t>
    </r>
    <r>
      <rPr>
        <sz val="12"/>
        <color theme="1"/>
        <rFont val="Aptos Narrow"/>
        <family val="2"/>
        <scheme val="minor"/>
      </rPr>
      <t>; anti‑CD70 ADC)</t>
    </r>
  </si>
  <si>
    <t>NCT01015911 (first‑in‑human) (ADC Review)</t>
  </si>
  <si>
    <r>
      <t>SGN‑CD70A</t>
    </r>
    <r>
      <rPr>
        <sz val="12"/>
        <color theme="1"/>
        <rFont val="Aptos Narrow"/>
        <family val="2"/>
        <scheme val="minor"/>
      </rPr>
      <t xml:space="preserve"> (CD70 PBD‑dimer ADC)</t>
    </r>
  </si>
  <si>
    <t>NCT02216890 (first‑in‑human) (ClinicalTrials.gov)</t>
  </si>
  <si>
    <r>
      <t>Denintuzumab mafodotin</t>
    </r>
    <r>
      <rPr>
        <sz val="12"/>
        <color theme="1"/>
        <rFont val="Aptos Narrow"/>
        <family val="2"/>
        <scheme val="minor"/>
      </rPr>
      <t xml:space="preserve"> (</t>
    </r>
    <r>
      <rPr>
        <b/>
        <sz val="12"/>
        <color theme="1"/>
        <rFont val="Aptos Narrow"/>
        <family val="2"/>
        <scheme val="minor"/>
      </rPr>
      <t>SGN‑CD19A</t>
    </r>
    <r>
      <rPr>
        <sz val="12"/>
        <color theme="1"/>
        <rFont val="Aptos Narrow"/>
        <family val="2"/>
        <scheme val="minor"/>
      </rPr>
      <t>)</t>
    </r>
  </si>
  <si>
    <t>NCT01786135 (first‑in‑human) (ClinicalTrials.gov)</t>
  </si>
  <si>
    <r>
      <t>SGN‑CD19B</t>
    </r>
    <r>
      <rPr>
        <sz val="12"/>
        <color theme="1"/>
        <rFont val="Aptos Narrow"/>
        <family val="2"/>
        <scheme val="minor"/>
      </rPr>
      <t xml:space="preserve"> (CD19 PBD‑dimer ADC)</t>
    </r>
  </si>
  <si>
    <t>NCT02702141 (first‑in‑human) (MedPath)</t>
  </si>
  <si>
    <r>
      <t>Vadastuximab talirine</t>
    </r>
    <r>
      <rPr>
        <sz val="12"/>
        <color theme="1"/>
        <rFont val="Aptos Narrow"/>
        <family val="2"/>
        <scheme val="minor"/>
      </rPr>
      <t xml:space="preserve"> (</t>
    </r>
    <r>
      <rPr>
        <b/>
        <sz val="12"/>
        <color theme="1"/>
        <rFont val="Aptos Narrow"/>
        <family val="2"/>
        <scheme val="minor"/>
      </rPr>
      <t>SGN‑CD33A</t>
    </r>
    <r>
      <rPr>
        <sz val="12"/>
        <color theme="1"/>
        <rFont val="Aptos Narrow"/>
        <family val="2"/>
        <scheme val="minor"/>
      </rPr>
      <t>; CD33 PBD‑dimer ADC)</t>
    </r>
  </si>
  <si>
    <t>NCT01902329 (first‑in‑human) (PubMed)</t>
  </si>
  <si>
    <r>
      <t>SGN‑CD123A</t>
    </r>
    <r>
      <rPr>
        <sz val="12"/>
        <color theme="1"/>
        <rFont val="Aptos Narrow"/>
        <family val="2"/>
        <scheme val="minor"/>
      </rPr>
      <t xml:space="preserve"> (CD123 PBD‑dimer ADC)</t>
    </r>
  </si>
  <si>
    <t>NCT02848248 (first‑in‑human) (ckb-core.genomenon.com)</t>
  </si>
  <si>
    <r>
      <t>SGN‑CD352A</t>
    </r>
    <r>
      <rPr>
        <sz val="12"/>
        <color theme="1"/>
        <rFont val="Aptos Narrow"/>
        <family val="2"/>
        <scheme val="minor"/>
      </rPr>
      <t xml:space="preserve"> (CD352/SLAMF6 PBD‑dimer ADC)</t>
    </r>
  </si>
  <si>
    <t>NCT02954796 (first‑in‑human) (ClinicalTrials.gov)</t>
  </si>
  <si>
    <r>
      <t>SGN‑CD48A</t>
    </r>
    <r>
      <rPr>
        <sz val="12"/>
        <color theme="1"/>
        <rFont val="Aptos Narrow"/>
        <family val="2"/>
        <scheme val="minor"/>
      </rPr>
      <t xml:space="preserve"> (CD48 MMAE ADC)</t>
    </r>
  </si>
  <si>
    <t>NCT03379584 (first‑in‑human) (ClinicalTrials.gov)</t>
  </si>
  <si>
    <r>
      <t>Ladiratuzumab vedotin</t>
    </r>
    <r>
      <rPr>
        <sz val="12"/>
        <color theme="1"/>
        <rFont val="Aptos Narrow"/>
        <family val="2"/>
        <scheme val="minor"/>
      </rPr>
      <t xml:space="preserve"> (</t>
    </r>
    <r>
      <rPr>
        <b/>
        <sz val="12"/>
        <color theme="1"/>
        <rFont val="Aptos Narrow"/>
        <family val="2"/>
        <scheme val="minor"/>
      </rPr>
      <t>SGN‑LIV1A</t>
    </r>
    <r>
      <rPr>
        <sz val="12"/>
        <color theme="1"/>
        <rFont val="Aptos Narrow"/>
        <family val="2"/>
        <scheme val="minor"/>
      </rPr>
      <t>)</t>
    </r>
  </si>
  <si>
    <t>NCT01969643 (first‑in‑human) (ClinicalTrials.gov)</t>
  </si>
  <si>
    <r>
      <t>ASG‑5ME</t>
    </r>
    <r>
      <rPr>
        <sz val="12"/>
        <color theme="1"/>
        <rFont val="Aptos Narrow"/>
        <family val="2"/>
        <scheme val="minor"/>
      </rPr>
      <t xml:space="preserve"> (SLC44A4 MMAE ADC; Astellas/Agensys co‑dev.)</t>
    </r>
  </si>
  <si>
    <t>NCT01166490 (pancreatic/gastric) (ClinicalTrials.gov)</t>
  </si>
  <si>
    <r>
      <t>ASG‑15ME</t>
    </r>
    <r>
      <rPr>
        <sz val="12"/>
        <color theme="1"/>
        <rFont val="Aptos Narrow"/>
        <family val="2"/>
        <scheme val="minor"/>
      </rPr>
      <t xml:space="preserve"> (sirtratumab vedotin; SLITRK6 MMAE ADC)</t>
    </r>
  </si>
  <si>
    <t>NCT01963052 (first‑in‑human) (ClinicalTrials.gov)</t>
  </si>
  <si>
    <r>
      <t>SEA‑CD40</t>
    </r>
    <r>
      <rPr>
        <sz val="12"/>
        <color theme="1"/>
        <rFont val="Aptos Narrow"/>
        <family val="2"/>
        <scheme val="minor"/>
      </rPr>
      <t xml:space="preserve"> (sugar‑engineered anti‑CD40 mAb)</t>
    </r>
  </si>
  <si>
    <t>NCT02376699 (first‑in‑human) (PubMed)</t>
  </si>
  <si>
    <r>
      <t>SEA‑BCMA</t>
    </r>
    <r>
      <rPr>
        <sz val="12"/>
        <color theme="1"/>
        <rFont val="Aptos Narrow"/>
        <family val="2"/>
        <scheme val="minor"/>
      </rPr>
      <t xml:space="preserve"> (sugar‑engineered anti‑BCMA mAb)</t>
    </r>
  </si>
  <si>
    <t>NCT03582033 (first‑in‑human) (ClinicalTrials.gov)</t>
  </si>
  <si>
    <r>
      <t>SEA‑TGT</t>
    </r>
    <r>
      <rPr>
        <sz val="12"/>
        <color theme="1"/>
        <rFont val="Aptos Narrow"/>
        <family val="2"/>
        <scheme val="minor"/>
      </rPr>
      <t xml:space="preserve"> (</t>
    </r>
    <r>
      <rPr>
        <b/>
        <sz val="12"/>
        <color theme="1"/>
        <rFont val="Aptos Narrow"/>
        <family val="2"/>
        <scheme val="minor"/>
      </rPr>
      <t>SGN‑TGT</t>
    </r>
    <r>
      <rPr>
        <sz val="12"/>
        <color theme="1"/>
        <rFont val="Aptos Narrow"/>
        <family val="2"/>
        <scheme val="minor"/>
      </rPr>
      <t>; sugar‑engineered anti‑TIGIT mAb)</t>
    </r>
  </si>
  <si>
    <t>NCT04254107 (first‑in‑human) (Larvol)</t>
  </si>
  <si>
    <r>
      <t>SGN‑B6A</t>
    </r>
    <r>
      <rPr>
        <sz val="12"/>
        <color theme="1"/>
        <rFont val="Aptos Narrow"/>
        <family val="2"/>
        <scheme val="minor"/>
      </rPr>
      <t xml:space="preserve"> (</t>
    </r>
    <r>
      <rPr>
        <b/>
        <sz val="12"/>
        <color theme="1"/>
        <rFont val="Aptos Narrow"/>
        <family val="2"/>
        <scheme val="minor"/>
      </rPr>
      <t>sigvotatug vedotin</t>
    </r>
    <r>
      <rPr>
        <sz val="12"/>
        <color theme="1"/>
        <rFont val="Aptos Narrow"/>
        <family val="2"/>
        <scheme val="minor"/>
      </rPr>
      <t>; integrin β6 MMAE ADC)</t>
    </r>
  </si>
  <si>
    <t>NCT04389632 (first‑in‑human) (ClinicalTrials.gov)</t>
  </si>
  <si>
    <r>
      <t>SGN‑B7H4V</t>
    </r>
    <r>
      <rPr>
        <sz val="12"/>
        <color theme="1"/>
        <rFont val="Aptos Narrow"/>
        <family val="2"/>
        <scheme val="minor"/>
      </rPr>
      <t xml:space="preserve"> (</t>
    </r>
    <r>
      <rPr>
        <b/>
        <sz val="12"/>
        <color theme="1"/>
        <rFont val="Aptos Narrow"/>
        <family val="2"/>
        <scheme val="minor"/>
      </rPr>
      <t>felmetatug vedotin</t>
    </r>
    <r>
      <rPr>
        <sz val="12"/>
        <color theme="1"/>
        <rFont val="Aptos Narrow"/>
        <family val="2"/>
        <scheme val="minor"/>
      </rPr>
      <t>; B7‑H4 MMAE ADC)</t>
    </r>
  </si>
  <si>
    <r>
      <t>NCI study ID: NCI‑2022‑02818</t>
    </r>
    <r>
      <rPr>
        <sz val="12"/>
        <color theme="1"/>
        <rFont val="Aptos Narrow"/>
        <family val="2"/>
        <scheme val="minor"/>
      </rPr>
      <t xml:space="preserve"> (first‑in‑human; NCT page exists but content mirrors reg. shell). (Cancer.gov, MD Anderson Cancer Center)</t>
    </r>
  </si>
  <si>
    <r>
      <t>SGN‑2FF</t>
    </r>
    <r>
      <rPr>
        <sz val="12"/>
        <color theme="1"/>
        <rFont val="Aptos Narrow"/>
        <family val="2"/>
        <scheme val="minor"/>
      </rPr>
      <t xml:space="preserve"> (oral fucosylation inhibitor; small molecule)</t>
    </r>
  </si>
  <si>
    <t>First‑in‑human Phase 1 (terminated for safety); publication (Oncologist 2021). NCT not shown in paper. (PubMed)</t>
  </si>
  <si>
    <r>
      <t>SGN‑70</t>
    </r>
    <r>
      <rPr>
        <sz val="12"/>
        <color theme="1"/>
        <rFont val="Aptos Narrow"/>
        <family val="2"/>
        <scheme val="minor"/>
      </rPr>
      <t xml:space="preserve"> (anti‑VCAM‑1 mAb)</t>
    </r>
  </si>
  <si>
    <t>Company announced start of Phase 1 (healthy volunteers); no NCT located. (ADVFN)</t>
  </si>
  <si>
    <t>Peak annual sales (USD)</t>
  </si>
  <si>
    <t>Source</t>
  </si>
  <si>
    <t>https://s206.q4cdn.com/795948973/files/doc_financials/2024/q4/Q4-2024-PFE-Earnings-Release-Final.pdf</t>
  </si>
  <si>
    <t>Brand / Product</t>
  </si>
  <si>
    <t>Roivant Company (Vant)</t>
  </si>
  <si>
    <t>First Approval Date</t>
  </si>
  <si>
    <t>Representative Clinical Trial(s) (NCT)</t>
  </si>
  <si>
    <t>Peak Annual Sales Achieved (if approved)</t>
  </si>
  <si>
    <t>Relugolix</t>
  </si>
  <si>
    <t>Orgovyx; Myfembree (relugolix + estradiol + norethindrone acetate)</t>
  </si>
  <si>
    <t>Myovant Sciences (now Sumitomo Pharma America)</t>
  </si>
  <si>
    <t>2020-12-18 (US, Orgovyx)</t>
  </si>
  <si>
    <t>Advanced prostate cancer; heavy menstrual bleeding due to uterine fibroids; moderate-to-severe pain associated with endometriosis</t>
  </si>
  <si>
    <t>Oral GnRH receptor antagonist</t>
  </si>
  <si>
    <t>NCT03085095 (HERO); NCT03070899 (LIBERTY 1); NCT03071800 (SPIRIT 1)</t>
  </si>
  <si>
    <t>Orgovyx: &gt;$500M (FY2024, Sumitomo); Myfembree: not separately disclosed</t>
  </si>
  <si>
    <t>Vibegron</t>
  </si>
  <si>
    <t>Gemtesa</t>
  </si>
  <si>
    <t>Urovant Sciences (now Sumitomo Pharma America)</t>
  </si>
  <si>
    <t>2020-12-23 (US)</t>
  </si>
  <si>
    <t>Overactive bladder (OAB) with symptoms of urge urinary incontinence, urgency, and urinary frequency</t>
  </si>
  <si>
    <t>Œ≤3-adrenergic receptor agonist</t>
  </si>
  <si>
    <t>NCT03492281 (EMPOWUR)</t>
  </si>
  <si>
    <t>&gt;$400M (FY2024, Sumitomo)</t>
  </si>
  <si>
    <t>Tapinarof (topical)</t>
  </si>
  <si>
    <t>VTAMA</t>
  </si>
  <si>
    <t>Dermavant Sciences (acquired by Organon in 2024)</t>
  </si>
  <si>
    <t>2022-05-24 (US, plaque psoriasis); 2024-12-16 (US, atopic dermatitis)</t>
  </si>
  <si>
    <t>Plaque psoriasis in adults; atopic dermatitis in adults and children ‚â•2 years</t>
  </si>
  <si>
    <t>Aryl hydrocarbon receptor (AhR) agonist</t>
  </si>
  <si>
    <t>NCT03956355 (PSOARING 1); NCT03983980 (PSOARING 2)</t>
  </si>
  <si>
    <t>$75.1M net product revenue (FY2024, Roivant); Organon FY2025 guidance ~$150M</t>
  </si>
  <si>
    <t>Allogeneic processed thymus tissue (cTEC)</t>
  </si>
  <si>
    <t>RETHYMIC (formerly RVT-802)</t>
  </si>
  <si>
    <t>Enzyvant (now Sumitomo Pharma America)</t>
  </si>
  <si>
    <t>2021-10-08 (US)</t>
  </si>
  <si>
    <t>Immune reconstitution in pediatric patients with congenital athymia</t>
  </si>
  <si>
    <t>Regenerative tissue-based therapy (cultured thymus tissue)</t>
  </si>
  <si>
    <t>n/a (BLA supported by clinical evidence; not registered with an NCT identifier)</t>
  </si>
  <si>
    <t>Not publicly disclosed</t>
  </si>
  <si>
    <t>Intepirdine (RVT-101; SB-742457)</t>
  </si>
  <si>
    <t>Axovant (later Sio Gene Therapies)</t>
  </si>
  <si>
    <t>Alzheimer‚Äôs disease; dementia with Lewy bodies</t>
  </si>
  <si>
    <t>5-HT6 receptor antagonist</t>
  </si>
  <si>
    <t>NCT02585934 (MINDSET, Phase 3 in AD)</t>
  </si>
  <si>
    <t>Nelotanserin</t>
  </si>
  <si>
    <t>Visual hallucinations in dementia with Lewy bodies; REM sleep behavior disorder</t>
  </si>
  <si>
    <t>5-HT2A inverse agonist</t>
  </si>
  <si>
    <t>NCT02649530 (DLB visual hallucinations, Phase 2)</t>
  </si>
  <si>
    <t>AXO-Lenti-PD (OXB-102)</t>
  </si>
  <si>
    <t>Axovant (renamed Sio Gene Therapies)</t>
  </si>
  <si>
    <t>Parkinson‚Äôs disease</t>
  </si>
  <si>
    <t>Lentiviral gene therapy delivering TH/AADC/GCH1 genes (dopamine biosynthesis)</t>
  </si>
  <si>
    <t>NCT03720418 (SUNRISE-PD, Phase 1/2)</t>
  </si>
  <si>
    <t>AXO-AAV-GM1</t>
  </si>
  <si>
    <t>Sio Gene Therapies (formerly Axovant)</t>
  </si>
  <si>
    <t>GM1 gangliosidosis</t>
  </si>
  <si>
    <t>AAV9 gene therapy delivering GLB1</t>
  </si>
  <si>
    <t>NCT03952637 (Phase 1/2)</t>
  </si>
  <si>
    <t>Gimsilumab (KIN-1901)</t>
  </si>
  <si>
    <t>Kinevant Sciences (Roivant subsidiary)</t>
  </si>
  <si>
    <t>COVID-19 acute respiratory distress syndrome (ARDS)</t>
  </si>
  <si>
    <t>NCT04351243 (BREATHE, Phase 2/3)</t>
  </si>
  <si>
    <t>RVT-1601 (inhaled cromolyn sodium)</t>
  </si>
  <si>
    <t>Respivant Sciences (Roivant)</t>
  </si>
  <si>
    <t>Chronic cough in interstitial lung disease</t>
  </si>
  <si>
    <t>Mast cell stabilizer (inhaled formulation)</t>
  </si>
  <si>
    <t>NCT04463186 (Phase 2b)</t>
  </si>
  <si>
    <t>RVT-3101 (PF-06480605)</t>
  </si>
  <si>
    <t>Telavant (Roivant + Pfizer; rights later to Roche)</t>
  </si>
  <si>
    <t>Ulcerative colitis; Crohn‚Äôs disease</t>
  </si>
  <si>
    <t>Anti-TL1A monoclonal antibody</t>
  </si>
  <si>
    <t>NCT02840721 (Phase 2a in UC); (TUSCANY-2 Phase 2b)</t>
  </si>
  <si>
    <t>Brepocitinib (PF-06700841)</t>
  </si>
  <si>
    <t>Priovant Therapeutics (Roivant + Pfizer)</t>
  </si>
  <si>
    <t>Dermatomyositis (ongoing Phase 3); systemic lupus erythematosus (program)</t>
  </si>
  <si>
    <t>Dual TYK2/JAK1 inhibitor</t>
  </si>
  <si>
    <t>NCT05437263 (VALOR, Phase 3 in dermatomyositis)</t>
  </si>
  <si>
    <t>RVT-2001 (H3B-8800)</t>
  </si>
  <si>
    <t>Hemavant (Roivant)</t>
  </si>
  <si>
    <t>N (development discontinued 2024)</t>
  </si>
  <si>
    <t>Lower-risk myelodysplastic syndromes (transfusion-dependent anemia)</t>
  </si>
  <si>
    <t>SF3B1 splicing modulator (oral small molecule)</t>
  </si>
  <si>
    <t>NCT02841540 (Phase 1/2)</t>
  </si>
  <si>
    <t>Mosliciguat (BAY1101042)</t>
  </si>
  <si>
    <t>Pulmovant (Roivant; in-licensed from Bayer)</t>
  </si>
  <si>
    <t>Pulmonary hypertension associated with interstitial lung disease (PH-ILD)</t>
  </si>
  <si>
    <t>Soluble guanylate cyclase (sGC) activator</t>
  </si>
  <si>
    <t>NCT03754660 (ATMOS, Phase 1b PoC); NCT06635850 (PHocus, Phase 2)</t>
  </si>
  <si>
    <t>Rodatristat ethyl</t>
  </si>
  <si>
    <t>Altavant Sciences (now Sumitomo Pharma America)</t>
  </si>
  <si>
    <t>Pulmonary arterial hypertension (PAH)</t>
  </si>
  <si>
    <t>Peripheral tryptophan hydroxylase inhibitor (TPH1)</t>
  </si>
  <si>
    <t>NCT04712669 (ELEVATE 2, Phase 2b)</t>
  </si>
  <si>
    <t>Molecule (Generic)</t>
  </si>
  <si>
    <t>Alnylam Code</t>
  </si>
  <si>
    <t>Brand (if any)</t>
  </si>
  <si>
    <t>First FDA Approval Date</t>
  </si>
  <si>
    <t>Peak Annual Sales Achieved (USD)</t>
  </si>
  <si>
    <t>patisiran</t>
  </si>
  <si>
    <t>ALN-TTR02</t>
  </si>
  <si>
    <t>ONPATTRO</t>
  </si>
  <si>
    <t>NCT01559077 (Phase 1)</t>
  </si>
  <si>
    <t>siRNA targeting TTR mRNA (liver)</t>
  </si>
  <si>
    <t>hATTR amyloidosis with polyneuropathy (adults)</t>
  </si>
  <si>
    <t>ATTR-CM sNDA received CRL in 2023; remains approved for hATTR-PN</t>
  </si>
  <si>
    <t>vutrisiran</t>
  </si>
  <si>
    <t>ALN-TTRsc02</t>
  </si>
  <si>
    <t>AMVUTTRA</t>
  </si>
  <si>
    <t>NCT03759379 (HELIOS-A); NCT04153149 (HELIOS-B)</t>
  </si>
  <si>
    <t>hATTR amyloidosis with polyneuropathy (adults); ATTR-CM (adults)</t>
  </si>
  <si>
    <t>FDA expanded label to ATTR-CM in Mar 2025</t>
  </si>
  <si>
    <t>givosiran</t>
  </si>
  <si>
    <t>ALN-AS1</t>
  </si>
  <si>
    <t>GIVLAARI</t>
  </si>
  <si>
    <t>NCT03338816 (ENVISION)</t>
  </si>
  <si>
    <t>siRNA targeting ALAS1 (hepatic)</t>
  </si>
  <si>
    <t>Acute hepatic porphyria (AHP) in adults</t>
  </si>
  <si>
    <t>lumasiran</t>
  </si>
  <si>
    <t>ALN-GO1</t>
  </si>
  <si>
    <t>OXLUMO</t>
  </si>
  <si>
    <t>NCT03681184 (ILLUMINATE-A)</t>
  </si>
  <si>
    <t>siRNA targeting HAO1 (glycolate oxidase)</t>
  </si>
  <si>
    <t>Primary hyperoxaluria type 1 (PH1) in pediatric &amp; adult patients</t>
  </si>
  <si>
    <t>Label expanded (2022) to include additional populations</t>
  </si>
  <si>
    <t>inclisiran</t>
  </si>
  <si>
    <t>ALN-PCSsc</t>
  </si>
  <si>
    <t>LEQVIO (Novartis)</t>
  </si>
  <si>
    <t>NCT03399370 (ORION-10)</t>
  </si>
  <si>
    <t>siRNA targeting PCSK9 (hepatic)</t>
  </si>
  <si>
    <t>Primary hyperlipidemia including HeFH; ASCVD risk reduction via LDL-C lowering</t>
  </si>
  <si>
    <t>Discovered by Alnylam; developed/marketed by Novartis under license</t>
  </si>
  <si>
    <t>fitusiran</t>
  </si>
  <si>
    <t>ALN-AT3</t>
  </si>
  <si>
    <t>Qfitlia (Sanofi)</t>
  </si>
  <si>
    <t>NCT03417102 (ATLAS-A/B)</t>
  </si>
  <si>
    <t>siRNA targeting SERPINC1 (antithrombin)</t>
  </si>
  <si>
    <t>Routine prophylaxis to prevent/reduce bleeding in hemophilia A or B (‚â•12y), with/without inhibitors</t>
  </si>
  <si>
    <t>Launched 2025; sales not yet at steady state</t>
  </si>
  <si>
    <t>revusiran</t>
  </si>
  <si>
    <t>ALN-TTRsc</t>
  </si>
  <si>
    <t>NCT02319005 (ENDEAVOUR, Phase 3)</t>
  </si>
  <si>
    <t>siRNA targeting TTR mRNA (hepatic)</t>
  </si>
  <si>
    <t>hATTR amyloidosis with cardiomyopathy</t>
  </si>
  <si>
    <t>Development halted in 2016 due to mortality imbalance</t>
  </si>
  <si>
    <t>‚Äî (first-gen TTR LNP)</t>
  </si>
  <si>
    <t>ALN-TTR01</t>
  </si>
  <si>
    <t>NCT01148953 (Phase 1)</t>
  </si>
  <si>
    <t>siRNA targeting TTR mRNA via LNP (IV)</t>
  </si>
  <si>
    <t>ATTR amyloidosis (proof-of-concept)</t>
  </si>
  <si>
    <t>Superseded by patisiran (ALN-TTR02)</t>
  </si>
  <si>
    <t>‚Äî (PCSK9 LNP, IV)</t>
  </si>
  <si>
    <t>ALN-PCS02</t>
  </si>
  <si>
    <t>NCT01437059 (Phase 1)</t>
  </si>
  <si>
    <t>siRNA targeting PCSK9 (IV LNP)</t>
  </si>
  <si>
    <t>Hypercholesterolemia</t>
  </si>
  <si>
    <t>Program superseded by ALN-PCSsc (inclisiran)</t>
  </si>
  <si>
    <t>‚Äî (VEGF &amp; KIF11/KSP)</t>
  </si>
  <si>
    <t>ALN-VSP02</t>
  </si>
  <si>
    <t>NCT00882180 (Phase 1)</t>
  </si>
  <si>
    <t>siRNA cocktail targeting VEGFA and KIF11 (tumor)</t>
  </si>
  <si>
    <t>Advanced solid tumors with liver involvement</t>
  </si>
  <si>
    <t>First-in-human tumor delivery &amp; target knockdown shown</t>
  </si>
  <si>
    <t>‚Äî (RSV nucleocapsid)</t>
  </si>
  <si>
    <t>ALN-RSV01</t>
  </si>
  <si>
    <t>NCT00658086 (Phase 2b)</t>
  </si>
  <si>
    <t>siRNA targeting RSV N gene (inhaled/intranasal)</t>
  </si>
  <si>
    <t>RSV in adult lung transplant recipients</t>
  </si>
  <si>
    <t>Program discontinued</t>
  </si>
  <si>
    <t>cemdisiran</t>
  </si>
  <si>
    <t>ALN-CC5</t>
  </si>
  <si>
    <t>NCT03841448 (IgAN); NCT02352493 (PNH)</t>
  </si>
  <si>
    <t>siRNA targeting complement C5 (hepatic)</t>
  </si>
  <si>
    <t>Complement-mediated diseases (e.g., PNH, IgAN, aHUS)</t>
  </si>
  <si>
    <t>Partnered with Regeneron; studied with pozelimab</t>
  </si>
  <si>
    <t>zilebesiran</t>
  </si>
  <si>
    <t>ALN-AGT</t>
  </si>
  <si>
    <t>NCT04936035 (KARDIA-1)</t>
  </si>
  <si>
    <t>siRNA targeting angiotensinogen (AGT)</t>
  </si>
  <si>
    <t>Hypertension</t>
  </si>
  <si>
    <t>ALN-HBV / ALN-HBV02</t>
  </si>
  <si>
    <t>NCT06903338 (HBV/HDV combo); other HBV trials ongoing</t>
  </si>
  <si>
    <t>siRNA targeting HBV transcripts (reduce HBsAg &amp; viral proteins)</t>
  </si>
  <si>
    <t>Chronic hepatitis B (and D in combos)</t>
  </si>
  <si>
    <t>Partnered with Vir Biotechnology</t>
  </si>
  <si>
    <t>ALN-AAT</t>
  </si>
  <si>
    <t>NCT02503683 (Phase 1)</t>
  </si>
  <si>
    <t>ALN-AAT02</t>
  </si>
  <si>
    <t>NCT03767829 (Phase 1/2)</t>
  </si>
  <si>
    <t>siRNA targeting SERPINA1 (GalNAc)</t>
  </si>
  <si>
    <t>Early clinical development</t>
  </si>
  <si>
    <t>‚Äî (HSD17B13)</t>
  </si>
  <si>
    <t>ALN-HSD</t>
  </si>
  <si>
    <t>NCT04565717 (Phase 1)</t>
  </si>
  <si>
    <t>siRNA targeting HSD17B13</t>
  </si>
  <si>
    <t>Metabolic liver disease / NASH</t>
  </si>
  <si>
    <t>Development discontinued</t>
  </si>
  <si>
    <t>mivelsiran</t>
  </si>
  <si>
    <t>ALN-APP</t>
  </si>
  <si>
    <t>NCT05231785 (EOAD, Phase 1); NCT06393712 (CAA, Phase 2)</t>
  </si>
  <si>
    <t>Early-onset Alzheimer‚Äôs; Cerebral amyloid angiopathy</t>
  </si>
  <si>
    <t>‚Äî (huntingtin)</t>
  </si>
  <si>
    <t>ALN-HTT02</t>
  </si>
  <si>
    <t>NCT06585449 (Phase 1)</t>
  </si>
  <si>
    <t>Huntington‚Äôs disease</t>
  </si>
  <si>
    <t>‚Äî (plasminogen)</t>
  </si>
  <si>
    <t>ALN-6400</t>
  </si>
  <si>
    <t>NCT06659640 (Phase 1)</t>
  </si>
  <si>
    <t>siRNA targeting PLG (plasminogen)</t>
  </si>
  <si>
    <t>Bleeding disorders (hemostasis modulation)</t>
  </si>
  <si>
    <t>‚Äî (GRB14)</t>
  </si>
  <si>
    <t>ALN-4324</t>
  </si>
  <si>
    <t>NCT06845202 (Phase 1)</t>
  </si>
  <si>
    <t>siRNA targeting GRB14</t>
  </si>
  <si>
    <t>Cardiometabolic disease / insulin sensitization (early)</t>
  </si>
  <si>
    <t>First-in-human 2025</t>
  </si>
  <si>
    <t>nucresiran</t>
  </si>
  <si>
    <t>ALN-TTRsc04</t>
  </si>
  <si>
    <t>NCT05661916 (Phase 1)</t>
  </si>
  <si>
    <t>ATTR amyloidosis</t>
  </si>
  <si>
    <t>Approval Date</t>
  </si>
  <si>
    <t>Clinical Trial Number(s)</t>
  </si>
  <si>
    <t>Peak Sales (USD)</t>
  </si>
  <si>
    <t>NCT04390113; NCT05179057; NCT05305040; NCT04693637; NCT04605484</t>
  </si>
  <si>
    <t>N/A</t>
  </si>
  <si>
    <t>ALVR106</t>
  </si>
  <si>
    <t>NCT04933968</t>
  </si>
  <si>
    <t>Respiratory viral infections (upper or mild lower RTI) after hematopoietic cell transplant or solid organ transplant.</t>
  </si>
  <si>
    <t>ALVR109</t>
  </si>
  <si>
    <t>NCT04401410</t>
  </si>
  <si>
    <t>NCT03326921</t>
  </si>
  <si>
    <t>Recurrent/relapsed leukemia after allogeneic hematopoietic cell transplant.</t>
  </si>
  <si>
    <t>Molecule (Aliases)</t>
  </si>
  <si>
    <t>Peak Sales (if approved; USD)</t>
  </si>
  <si>
    <t>NDI-010976 (ND-630; GS-0976; firsocostat)</t>
  </si>
  <si>
    <t>NCT02876796 | NCT02856555 | NCT03449446</t>
  </si>
  <si>
    <t>Acetyl-CoA carboxylase (ACC) allosteric inhibitor; liver-directed</t>
  </si>
  <si>
    <t>Nonalcoholic steatohepatitis (NASH/MASH) ¬± combinations</t>
  </si>
  <si>
    <t>NDI-034858 (TAK-279; zasocitinib)</t>
  </si>
  <si>
    <t>NCT04999839 | NCT05153148</t>
  </si>
  <si>
    <t>Allosteric TYK2 inhibitor</t>
  </si>
  <si>
    <t>Plaque psoriasis; Psoriatic arthritis</t>
  </si>
  <si>
    <t>NDI-101150</t>
  </si>
  <si>
    <t>NCT05128487</t>
  </si>
  <si>
    <t>HPK1 (hematopoietic progenitor kinase 1) inhibitor</t>
  </si>
  <si>
    <t>Advanced solid tumors (incl. RCC); monotherapy and with pembrolizumab</t>
  </si>
  <si>
    <t>NDI-219216</t>
  </si>
  <si>
    <t>NCT06898450</t>
  </si>
  <si>
    <t>Approval Date(s)</t>
  </si>
  <si>
    <t>Clinical Trial # (if found)</t>
  </si>
  <si>
    <t>Peak Sales Achieved (USD)</t>
  </si>
  <si>
    <t>Acoramidis (AG10)</t>
  </si>
  <si>
    <t>US: 2024-11-22; EU: 2025-02-11; JP: 2025-03-27; UK: 2025-04-28</t>
  </si>
  <si>
    <t>TTR tetramer stabilizer</t>
  </si>
  <si>
    <t>Transthyretin amyloid cardiomyopathy (ATTR-CM)</t>
  </si>
  <si>
    <t>Fosdenopterin (cPMP; NULIBRY)</t>
  </si>
  <si>
    <t>US: 2021-02-28</t>
  </si>
  <si>
    <t>Synthetic cyclic pyranopterin monophosphate (cPMP) replacement</t>
  </si>
  <si>
    <t>Molybdenum cofactor deficiency (MoCD) Type A</t>
  </si>
  <si>
    <t>US: 2021-05-28 (accelerated approval; voluntarily withdrawn 2024-07-15)</t>
  </si>
  <si>
    <t>NCT06164951 (achondroplasia; PROPEL 3)</t>
  </si>
  <si>
    <t>FGFR1/2/3 tyrosine kinase inhibitor</t>
  </si>
  <si>
    <t>FGFR2 fusion+ cholangiocarcinoma (approved 2021); Achondroplasia (ongoing, low-dose)</t>
  </si>
  <si>
    <t>Encaleret (CLTX-305)</t>
  </si>
  <si>
    <t>NCT05680818 (CALIBRATE, Phase 3)</t>
  </si>
  <si>
    <t>Calcium-sensing receptor (CaSR) antagonist</t>
  </si>
  <si>
    <t>Autosomal Dominant Hypocalcemia type 1 (ADH1); also being explored in post-surgical hypoparathyroidism</t>
  </si>
  <si>
    <t>Ribitol (BBP-418)</t>
  </si>
  <si>
    <t>NCT05775848 (FORTIFY, Phase 3); NCT04800874 (Phase 2)</t>
  </si>
  <si>
    <t>Limb-girdle muscular dystrophy type 2I/R9 (FKRP-related)</t>
  </si>
  <si>
    <t>BBP-812 (AAV9-ASPA gene therapy)</t>
  </si>
  <si>
    <t>NCT04998396 (CANaspire, Phase 1/2)</t>
  </si>
  <si>
    <t>AAV9 gene therapy delivering functional ASPA</t>
  </si>
  <si>
    <t>Canavan disease</t>
  </si>
  <si>
    <t>BBP-631 (AAV5-CYP21A2 gene therapy)</t>
  </si>
  <si>
    <t>AAV5 gene therapy delivering CYP21A2 (21-hydroxylase)</t>
  </si>
  <si>
    <t>Classic congenital adrenal hyperplasia (21-hydroxylase deficiency)</t>
  </si>
  <si>
    <t>PTR-01 / BBP-589 (recombinant type VII collagen)</t>
  </si>
  <si>
    <t>NCT03752905 (Phase 1/2); BBP-589 Phase 2 (intravenous rC7)</t>
  </si>
  <si>
    <t>Recombinant human type VII collagen protein replacement</t>
  </si>
  <si>
    <t>Recessive dystrophic epidermolysis bullosa (RDEB)</t>
  </si>
  <si>
    <t>Patidegib (topical gel 2%)</t>
  </si>
  <si>
    <t>NCT03703310 (Phase 3; Gorlin syndrome); NCT04308395 (OLE)</t>
  </si>
  <si>
    <t>Hedgehog pathway (Smoothened) inhibitor, topical</t>
  </si>
  <si>
    <t>BBP-398 (formerly IACS-15509)</t>
  </si>
  <si>
    <t>NCT04528836 (monotherapy, Ph1); NCT05375084 (combo with nivolumab)</t>
  </si>
  <si>
    <t>SHP2 (PTPN11) inhibitor</t>
  </si>
  <si>
    <t>BBO-8520 (ONKORAS-101)</t>
  </si>
  <si>
    <t>NCT06343402 (Phase 1a/1b)</t>
  </si>
  <si>
    <t>Dual-state KRASG12C inhibitor (binds ON/GTP and OFF/GDP)</t>
  </si>
  <si>
    <t>BBO-10203 (BREAKER-101)</t>
  </si>
  <si>
    <t>NCT06625775 (Phase 1a/1b)</t>
  </si>
  <si>
    <t>Advanced solid tumors (mono and multiple combinations)</t>
  </si>
  <si>
    <t>BBO-11818</t>
  </si>
  <si>
    <t>NCT06917079 (Phase 1)</t>
  </si>
  <si>
    <t>BBP-711</t>
  </si>
  <si>
    <t>NCT04836494 (Phase 1 HV + PA/MMA)</t>
  </si>
  <si>
    <t>Glycolate oxidase (HAO1) inhibitor</t>
  </si>
  <si>
    <t>Primary hyperoxaluria (PH1) and hepatic overproduction hyperoxaluria / recurrent kidney stones</t>
  </si>
  <si>
    <t>BBP-671</t>
  </si>
  <si>
    <t>Allosteric activator of pantothenate kinases (‚ÜëCoA biosynthesis)</t>
  </si>
  <si>
    <t>PKAN; Propionic acidemia (PA); Methylmalonic acidemia (MMA)</t>
  </si>
  <si>
    <t>Key Clinical Trial IDs</t>
  </si>
  <si>
    <t>Seralutinib (GB002; formerly PK10571)</t>
  </si>
  <si>
    <t>NCT03473236; NCT03926793; NCT04456998; NCT04816604; NCT05934526</t>
  </si>
  <si>
    <t>GB001 (DP2 / CRTH2 antagonist)</t>
  </si>
  <si>
    <t>NCT03683576; NCT03956862</t>
  </si>
  <si>
    <t>Oral antagonist of prostaglandin D2 receptor 2 (DP2 / CRTH2)</t>
  </si>
  <si>
    <t>Eosinophilic asthma; chronic rhinosinusitis (¬± nasal polyps)</t>
  </si>
  <si>
    <t>NCT03860896; NCT04556383</t>
  </si>
  <si>
    <t>Ulcerative colitis</t>
  </si>
  <si>
    <t>GB1275</t>
  </si>
  <si>
    <t>NCT04060342</t>
  </si>
  <si>
    <t>Advanced solid tumors (incl. pancreatic adenocarcinoma)</t>
  </si>
  <si>
    <t>GB5121 (cinsebrutinib; BTK inhibitor)</t>
  </si>
  <si>
    <t>NCT05242146</t>
  </si>
  <si>
    <t>Primary CNS lymphoma; Secondary CNS lymphoma; Primary vitreoretinal lymphoma</t>
  </si>
  <si>
    <t>ClinicalTrials.gov ID(s)</t>
  </si>
  <si>
    <t>Peak Annual Sales (USD)</t>
  </si>
  <si>
    <t>Rimegepant</t>
  </si>
  <si>
    <t>NCT03461757; NCT03732638</t>
  </si>
  <si>
    <t>CGRP receptor antagonist (small molecule)</t>
  </si>
  <si>
    <t>Acute treatment and preventive treatment of migraine (adults)</t>
  </si>
  <si>
    <t>Zavegepant</t>
  </si>
  <si>
    <t>NCT04571060; NCT03872453</t>
  </si>
  <si>
    <t>Intranasal CGRP receptor antagonist (small molecule)</t>
  </si>
  <si>
    <t>Acute treatment of migraine (adults)</t>
  </si>
  <si>
    <t>Troriluzole (BHV-4157)</t>
  </si>
  <si>
    <t>NCT03701399</t>
  </si>
  <si>
    <t>Prodrug of riluzole; glutamate modulation via increased EAAT2-mediated synaptic glutamate uptake</t>
  </si>
  <si>
    <t>Spinocerebellar ataxia (SCA)</t>
  </si>
  <si>
    <t>Verdiperstat (BHV-3241; AZD3241)</t>
  </si>
  <si>
    <t>NCT03952806</t>
  </si>
  <si>
    <t>Irreversible myeloperoxidase (MPO) inhibitor</t>
  </si>
  <si>
    <t>Multiple system atrophy (MSA)</t>
  </si>
  <si>
    <t>Riluzole sublingual (BHV-0223)</t>
  </si>
  <si>
    <t>Riluzole (glutamate modulator) sublingual formulation</t>
  </si>
  <si>
    <t>Amyotrophic lateral sclerosis (ALS)</t>
  </si>
  <si>
    <t>BHV-5000 (lanicemine prodrug)</t>
  </si>
  <si>
    <t>Low-trapping NMDA receptor antagonist</t>
  </si>
  <si>
    <t>Rett syndrome (orphan) and other neuropsychiatric disorders (early development)</t>
  </si>
  <si>
    <t>BHV-7000</t>
  </si>
  <si>
    <t>NCT06443463; NCT06425159</t>
  </si>
  <si>
    <t>Selective Kv7.2/7.3 potassium channel activator</t>
  </si>
  <si>
    <t>Refractory focal epilepsy; idiopathic generalized epilepsy (IGE)</t>
  </si>
  <si>
    <t>Taldefgrobep alfa (BHV-2000)</t>
  </si>
  <si>
    <t>NCT05337553</t>
  </si>
  <si>
    <t>Myostatin pathway inhibitor (binds myostatin and blocks downstream activin II signaling)</t>
  </si>
  <si>
    <t>Spinal muscular atrophy (SMA), adjunct to SMN upregulators</t>
  </si>
  <si>
    <t>Noraramtide (BHV-1100)</t>
  </si>
  <si>
    <t>NCT04634435</t>
  </si>
  <si>
    <t>ARM‚Ñ¢ (antibody-recruiting molecule) targeting CD38 to engage innate immune effectors; used with CIML NK cells</t>
  </si>
  <si>
    <t>Multiple myeloma (with cytokine-induced memory-like NK cells)</t>
  </si>
  <si>
    <t>BHV-1300</t>
  </si>
  <si>
    <t>NCT06980649</t>
  </si>
  <si>
    <t>First-in-class extracellular IgG degrader (MoDE/TRAP)</t>
  </si>
  <si>
    <t>Graves‚Äô disease</t>
  </si>
  <si>
    <t>BHV-1400</t>
  </si>
  <si>
    <t>NCT07054684</t>
  </si>
  <si>
    <t>TRAP degrader targeting galactose-deficient IgA1 (Gd-IgA1)</t>
  </si>
  <si>
    <t>IgA nephropathy (IgAN)</t>
  </si>
  <si>
    <t>BHV-1600</t>
  </si>
  <si>
    <t>TRAP/MoDE degrader targeting Œ≤1-adrenergic receptor autoantibodies</t>
  </si>
  <si>
    <t>Peripartum cardiomyopathy (PPCM)</t>
  </si>
  <si>
    <t>BHV-2100</t>
  </si>
  <si>
    <t>NCT06603623</t>
  </si>
  <si>
    <t>TRPM3 antagonist</t>
  </si>
  <si>
    <t>Acute migraine; pain</t>
  </si>
  <si>
    <t>BHV-8000</t>
  </si>
  <si>
    <t>NCT06976268</t>
  </si>
  <si>
    <t>Brain-penetrant selective TYK2/JAK1 inhibitor</t>
  </si>
  <si>
    <t>Early Parkinson‚Äôs disease</t>
  </si>
  <si>
    <t>BHV-1510</t>
  </si>
  <si>
    <t>NCT06384807</t>
  </si>
  <si>
    <t>Trop-2 antibody-drug conjugate (ADC) using TopoIx payload</t>
  </si>
  <si>
    <t>Advanced/metastatic epithelial tumors (¬± cemiplimab)</t>
  </si>
  <si>
    <t>BHV-1530 (AMB302)</t>
  </si>
  <si>
    <t>NCT06874335</t>
  </si>
  <si>
    <t>FGFR3-directed antibody-drug conjugate (ADC)</t>
  </si>
  <si>
    <t>Advanced solid tumors including urothelial cancer</t>
  </si>
  <si>
    <t>Approval Date (first market)</t>
  </si>
  <si>
    <t>Clinical Trial Number (example)</t>
  </si>
  <si>
    <t>Peak Sales Achieved (USD, Year)</t>
  </si>
  <si>
    <t>mRNA-1273 (Spikevax®)</t>
  </si>
  <si>
    <t>2022-01-31 (US FDA BLA)</t>
  </si>
  <si>
    <t>NCT04405076</t>
  </si>
  <si>
    <t>mRNA encoding full-length prefusion-stabilized SARS‑CoV‑2 spike protein (S-2P) in LNP</t>
  </si>
  <si>
    <t>COVID‑19 prevention</t>
  </si>
  <si>
    <t>mRNA-1283 (mNEXSPIKE®)</t>
  </si>
  <si>
    <t>2025-05-30 (US FDA)</t>
  </si>
  <si>
    <t>NCT05137236</t>
  </si>
  <si>
    <t>Next‑gen COVID‑19 vaccine; mRNA encoding RBD+NTD regions of SARS‑CoV‑2 spike at lower dose</t>
  </si>
  <si>
    <t>COVID‑19 prevention (select high‑risk populations)</t>
  </si>
  <si>
    <t>mRNA-1345 (mRESVIA®)</t>
  </si>
  <si>
    <t>2024-05-31 (US FDA, ≥60y)</t>
  </si>
  <si>
    <t>mRNA encoding RSV prefusion F glycoprotein</t>
  </si>
  <si>
    <t>RSV prevention in older adults (and pediatric program in trials)</t>
  </si>
  <si>
    <t>mRNA-1010</t>
  </si>
  <si>
    <t>NCT05827978</t>
  </si>
  <si>
    <t>Quadrivalent seasonal influenza vaccine (HA antigens)</t>
  </si>
  <si>
    <t>Seasonal influenza prevention</t>
  </si>
  <si>
    <t>mRNA-1083</t>
  </si>
  <si>
    <t>Combination influenza + COVID‑19 vaccine</t>
  </si>
  <si>
    <t>Prevention of influenza and COVID‑19 in adults</t>
  </si>
  <si>
    <t>mRNA-1018</t>
  </si>
  <si>
    <t>Pandemic influenza (e.g., H5/H7) HA antigens</t>
  </si>
  <si>
    <t>Pandemic influenza preparedness</t>
  </si>
  <si>
    <t>mRNA-1365</t>
  </si>
  <si>
    <t>NCT05772650</t>
  </si>
  <si>
    <t>Bivalent RSV + hMPV vaccine (prefusion F antigens)</t>
  </si>
  <si>
    <t>Prevention of RSV &amp; hMPV</t>
  </si>
  <si>
    <t>mRNA-1647 (CMV)</t>
  </si>
  <si>
    <t>NCT04232280</t>
  </si>
  <si>
    <t>6 mRNAs encoding CMV gB and pentamer complex antigens</t>
  </si>
  <si>
    <t>Prevention of congenital CMV and CMV in women of childbearing age</t>
  </si>
  <si>
    <t>mRNA-1189 (EBV-IM)</t>
  </si>
  <si>
    <t>mRNA vaccine against EBV antigens (e.g., gp350 + others)</t>
  </si>
  <si>
    <t>Prevention of infectious mononucleosis and acute EBV disease</t>
  </si>
  <si>
    <t>mRNA-1195 (EBV-sequelae)</t>
  </si>
  <si>
    <t>mRNA vaccine against EBV antigens</t>
  </si>
  <si>
    <t>Prevention of EBV infection &amp; long‑term sequelae</t>
  </si>
  <si>
    <t>mRNA-1608 (HSV‑2)</t>
  </si>
  <si>
    <t>mRNA vaccine against HSV‑2 surface glycoprotein antigens</t>
  </si>
  <si>
    <t>Prevention of HSV‑2</t>
  </si>
  <si>
    <t>mRNA-1468 (VZV)</t>
  </si>
  <si>
    <t>mRNA vaccine against VZV (e.g., gE)</t>
  </si>
  <si>
    <t>Prevention of shingles (herpes zoster)</t>
  </si>
  <si>
    <t>mRNA-1644 (HIV; with IAVI)</t>
  </si>
  <si>
    <t>NCT05001373</t>
  </si>
  <si>
    <t>Germline‑targeting prime‑boost (eOD‑GT8 60mer + Core‑g28v2 60mer)</t>
  </si>
  <si>
    <t>Prevention of HIV infection</t>
  </si>
  <si>
    <t>mRNA-1403 (Norovirus)</t>
  </si>
  <si>
    <t>mRNA vaccine against Norovirus capsid antigens</t>
  </si>
  <si>
    <t>Prevention of Norovirus gastroenteritis</t>
  </si>
  <si>
    <t>mRNA-1405 (Norovirus)</t>
  </si>
  <si>
    <t>mRNA-1975 (Lyme disease)</t>
  </si>
  <si>
    <t>mRNA vaccine against Borrelia burgdorferi outer surface antigens (e.g., OspA)</t>
  </si>
  <si>
    <t>Prevention of Lyme disease</t>
  </si>
  <si>
    <t>mRNA-1982 (Lyme disease)</t>
  </si>
  <si>
    <t>mRNA vaccine against Borrelia outer surface antigens</t>
  </si>
  <si>
    <t>mRNA-1215 (Nipah; with NIH)</t>
  </si>
  <si>
    <t>mRNA vaccine encoding Nipah virus glycoprotein(s)</t>
  </si>
  <si>
    <t>Prevention of Nipah virus infection</t>
  </si>
  <si>
    <t>mRNA-1769 (Mpox)</t>
  </si>
  <si>
    <t>mRNA vaccine encoding orthopox virus antigens</t>
  </si>
  <si>
    <t>Prevention of mpox</t>
  </si>
  <si>
    <t>mRNA-4157 (Intismeran autogene; V940 with Merck)</t>
  </si>
  <si>
    <t>Personalized cancer vaccine (patient‑specific neoantigens) with pembrolizumab</t>
  </si>
  <si>
    <t>Adjuvant melanoma; adjuvant NSCLC; other solid tumors</t>
  </si>
  <si>
    <t>mRNA-4359 (AIM‑T checkpoint vaccine)</t>
  </si>
  <si>
    <t>NCT05533697</t>
  </si>
  <si>
    <t>mRNA vaccine encoding PD‑L1 and IDO epitopes to stimulate anti‑suppressive T cells</t>
  </si>
  <si>
    <t>Advanced solid tumors (± pembrolizumab)</t>
  </si>
  <si>
    <t>mRNA-4106 (solid tumors)</t>
  </si>
  <si>
    <t>Cancer antigen therapy (undisclosed antigens; per company materials)</t>
  </si>
  <si>
    <t>Solid tumors</t>
  </si>
  <si>
    <t>mRNA-3927 (Propionic acidemia)</t>
  </si>
  <si>
    <t>NCT04159103</t>
  </si>
  <si>
    <t>Dual mRNAs encoding PCCA and PCCB subunits of propionyl‑CoA carboxylase</t>
  </si>
  <si>
    <t>Propionic acidemia</t>
  </si>
  <si>
    <t>mRNA-3705 (Methylmalonic acidemia)</t>
  </si>
  <si>
    <t>NCT04899310</t>
  </si>
  <si>
    <t>mRNA encoding methylmalonyl‑CoA mutase (MUT)</t>
  </si>
  <si>
    <t>Methylmalonic acidemia due to MUT deficiency</t>
  </si>
  <si>
    <t>mRNA-3745 (GSD1a)</t>
  </si>
  <si>
    <t>mRNA encoding glucose‑6‑phosphatase (G6PC)</t>
  </si>
  <si>
    <t>Glycogen Storage Disease Type 1a</t>
  </si>
  <si>
    <t>mRNA-3692 / VX-522 (Vertex collaboration)</t>
  </si>
  <si>
    <t>NCT05668741</t>
  </si>
  <si>
    <t>Inhaled mRNA encoding full‑length CFTR to restore channel function</t>
  </si>
  <si>
    <t>Cystic fibrosis in patients not eligible for modulators</t>
  </si>
  <si>
    <t>mRNA-1440 (H10N8 influenza)</t>
  </si>
  <si>
    <t>mRNA encoding H10N8 HA antigen</t>
  </si>
  <si>
    <t>Influenza prevention (H10N8)</t>
  </si>
  <si>
    <t>mRNA-1851 (H7N9 influenza)</t>
  </si>
  <si>
    <t>mRNA encoding H7N9 HA antigen</t>
  </si>
  <si>
    <t>Influenza prevention (H7N9)</t>
  </si>
  <si>
    <t>mRNA-1653 (hMPV/PIV3)</t>
  </si>
  <si>
    <t>NCT04144348</t>
  </si>
  <si>
    <t>Bivalent vaccine against hMPV and PIV3 (F antigens)</t>
  </si>
  <si>
    <t>Prevention of hMPV &amp; parainfluenza 3</t>
  </si>
  <si>
    <t>mRNA-1777 (RSV; early program)</t>
  </si>
  <si>
    <t>mRNA vaccine encoding RSV F antigen (legacy program)</t>
  </si>
  <si>
    <t>RSV prevention</t>
  </si>
  <si>
    <t>mRNA-1893 (Zika)</t>
  </si>
  <si>
    <t>NCT04064905</t>
  </si>
  <si>
    <t>mRNA encoding Zika virus structural proteins to form VLPs</t>
  </si>
  <si>
    <t>Prevention of Zika virus infection</t>
  </si>
  <si>
    <t>mRNA-1325 (Zika; first‑gen)</t>
  </si>
  <si>
    <t>First‑generation Zika mRNA vaccine (structural proteins)</t>
  </si>
  <si>
    <t>mRNA-1388 (Chikungunya)</t>
  </si>
  <si>
    <t>NCT03325075</t>
  </si>
  <si>
    <t>mRNA vaccine encoding CHIKV structural proteins (VLP)</t>
  </si>
  <si>
    <t>Prevention of chikungunya virus infection</t>
  </si>
  <si>
    <t>mRNA-1944 (Chikungunya monoclonal antibody)</t>
  </si>
  <si>
    <t>Systemic therapeutic mRNA encoding anti‑CHIKV monoclonal antibody (CHKV‑24)</t>
  </si>
  <si>
    <t>Passive immunization/therapy for chikungunya</t>
  </si>
  <si>
    <t>mRNA-2416 (OX40L; intratumoral)</t>
  </si>
  <si>
    <t>NCT03323398</t>
  </si>
  <si>
    <t>Intratumoral mRNA encoding OX40L to stimulate anti‑tumor immunity</t>
  </si>
  <si>
    <t>Advanced solid tumors/lymphoma; combo with durvalumab</t>
  </si>
  <si>
    <t>mRNA-2752 (OX40L + IL‑23 + IL‑36γ; intratumoral triplet)</t>
  </si>
  <si>
    <t>NCT03739931</t>
  </si>
  <si>
    <t>Intratumoral mRNAs encoding OX40L/IL‑23/IL‑36γ to inflame the TME</t>
  </si>
  <si>
    <t>Advanced solid tumors/lymphoma (± durvalumab)</t>
  </si>
  <si>
    <t>mRNA-5671 (V941; KRAS vaccine with Merck)</t>
  </si>
  <si>
    <t>NCT03948763</t>
  </si>
  <si>
    <t>mRNA vaccine encoding KRAS mutations (e.g., G12D/V/C, G13D)</t>
  </si>
  <si>
    <t>KRAS‑mutant solid tumors (± pembrolizumab)</t>
  </si>
  <si>
    <t>mRNA-6231 (IL‑2 mutein; autoimmune)</t>
  </si>
  <si>
    <t>NCT04916431</t>
  </si>
  <si>
    <t>Systemic mRNA encoding long‑acting IL‑2 mutein fused to HSA (Treg‑selective)</t>
  </si>
  <si>
    <t>Autoimmune diseases (first‑in‑human done in healthy volunteers)</t>
  </si>
  <si>
    <t>AZD8601 (VEGF‑A mRNA; AstraZeneca collaboration)</t>
  </si>
  <si>
    <t>NCT03370887</t>
  </si>
  <si>
    <t>Direct intramyocardial/dermal delivery of VEGF‑A mRNA for regenerative angiogenesis</t>
  </si>
  <si>
    <t>CABG patients (myocardial ischemia); dermal microvascular perfusion in T2D</t>
  </si>
  <si>
    <t>First approval date</t>
  </si>
  <si>
    <t>Clinical trial # (example/pivotal)</t>
  </si>
  <si>
    <t>Peak Sales (Year, Value, Currency)</t>
  </si>
  <si>
    <t>Bortezomib (Velcade; PS-341, MLN341)</t>
  </si>
  <si>
    <t>NCT00048230</t>
  </si>
  <si>
    <t>26S proteasome inhibitor (boronic acid peptide)</t>
  </si>
  <si>
    <t>Multiple myeloma; Mantle cell lymphoma</t>
  </si>
  <si>
    <t>2017, ~1.25B, USD (Takeda share)</t>
  </si>
  <si>
    <t>Ixazomib (Ninlaro; MLN9708/MLN2238)</t>
  </si>
  <si>
    <t>NCT01564537</t>
  </si>
  <si>
    <t>Oral proteasome inhibitor (boronic acid peptide)</t>
  </si>
  <si>
    <t>Multiple myeloma</t>
  </si>
  <si>
    <t>2023, 87.4B, JPY</t>
  </si>
  <si>
    <t>Vedolizumab (Entyvio; MLN02/MLN0002/LDP-02)</t>
  </si>
  <si>
    <t>NCT00783718</t>
  </si>
  <si>
    <t>Œ±4Œ≤7 integrin antagonist (gut-selective mAb)</t>
  </si>
  <si>
    <t>2024, 914.1B, JPY</t>
  </si>
  <si>
    <t>Alemtuzumab (Campath; later Lemtrada‚Äîsame molecule)</t>
  </si>
  <si>
    <t>Anti-CD52 monoclonal antibody</t>
  </si>
  <si>
    <t>2013, ~76M, USD (Campath CLL)</t>
  </si>
  <si>
    <t>Alisertib (MLN8237)</t>
  </si>
  <si>
    <t>NCT01482962</t>
  </si>
  <si>
    <t>Aurora A kinase inhibitor</t>
  </si>
  <si>
    <t>MLN8054</t>
  </si>
  <si>
    <t>NCT03770260</t>
  </si>
  <si>
    <t>MDS/AML; solid tumors (various combinations)</t>
  </si>
  <si>
    <t>NCT01449370</t>
  </si>
  <si>
    <t>NCT01058707</t>
  </si>
  <si>
    <t>mTORC1/2 inhibitor</t>
  </si>
  <si>
    <t>Advanced solid tumors; hematologic malignancies</t>
  </si>
  <si>
    <t>NCT01425008</t>
  </si>
  <si>
    <t>NCT02202759</t>
  </si>
  <si>
    <t>Gastrointestinal cancers expressing GCC</t>
  </si>
  <si>
    <t>NCT00070837</t>
  </si>
  <si>
    <t>J591 (MLN591)</t>
  </si>
  <si>
    <t>NCT00003391</t>
  </si>
  <si>
    <t>Prostate cancer</t>
  </si>
  <si>
    <t>XR11576 (MLN576)</t>
  </si>
  <si>
    <t>Dual topoisomerase I/II inhibitor (oral)</t>
  </si>
  <si>
    <t>MLN944 (XR5944)</t>
  </si>
  <si>
    <t>NCT00297921</t>
  </si>
  <si>
    <t>FLT3/PDGFR tyrosine kinase inhibitor</t>
  </si>
  <si>
    <t>AML; GIST and other solid tumors</t>
  </si>
  <si>
    <t>Plozalizumab (MLN1202)</t>
  </si>
  <si>
    <t>NCT01015560</t>
  </si>
  <si>
    <t>CCR2 monoclonal antibody</t>
  </si>
  <si>
    <t>RA; atherosclerosis biomarker studies; bone metastases</t>
  </si>
  <si>
    <t>MLN3897</t>
  </si>
  <si>
    <t>CCR1 antagonist (small molecule)</t>
  </si>
  <si>
    <t>Rheumatoid arthritis; other inflammatory indications</t>
  </si>
  <si>
    <t>MLN3701 (a.k.a. AVE9897)</t>
  </si>
  <si>
    <t>Inflammation (early clinical evaluation)</t>
  </si>
  <si>
    <t>Asthma (Phase II)</t>
  </si>
  <si>
    <t>MLN4760</t>
  </si>
  <si>
    <t>ACE2 inhibitor</t>
  </si>
  <si>
    <t>Obesity/metabolic (Phase I)</t>
  </si>
  <si>
    <t>NCT02045095</t>
  </si>
  <si>
    <t>Advanced solid tumors and lymphomas</t>
  </si>
  <si>
    <t>Projected Peak Sales (USD)</t>
  </si>
  <si>
    <t>Projection Sources / Notes</t>
  </si>
  <si>
    <t>Reuters (US$2.5B by 2035); Biopharma Dive (consensus ~US$2B, could be larger); IBD (US$1.29B by 2029); Mizuho/Pharmaphorum up to US$4B</t>
  </si>
  <si>
    <t>Not disclosed (BridgeBio reported no significant product revenue before divestiture; Sentynl private)</t>
  </si>
  <si>
    <t>BioWorld (~US$100M/yr est.); Anton Health blog (~US$10M peak) ‚Äî wide uncertainty given ultra-rare prevalence</t>
  </si>
  <si>
    <t>Not disclosed; approval withdrawn in 2024; commercial footprint limited</t>
  </si>
  <si>
    <t>Evaluate Vantage 2028 forecast ~US$80M; FiercePharma ‚Äò2021 approvals‚Äô peak US$561M (pre-withdrawal)</t>
  </si>
  <si>
    <t>Fomivirsen (Vitravene)</t>
  </si>
  <si>
    <t>1998-08-26 (US FDA)</t>
  </si>
  <si>
    <t>ASO targeting CMV IE2 mRNA</t>
  </si>
  <si>
    <t>CMV retinitis in AIDS</t>
  </si>
  <si>
    <t>Mipomersen (Kynamro)</t>
  </si>
  <si>
    <t>Y (withdrawn US 2019)</t>
  </si>
  <si>
    <t>2013-01-29 (US FDA)</t>
  </si>
  <si>
    <t>ASO targeting apolipoprotein B (apoB) mRNA</t>
  </si>
  <si>
    <t>Homozygous familial hypercholesterolemia (HoFH)</t>
  </si>
  <si>
    <t>Nusinersen (Spinraza)</t>
  </si>
  <si>
    <t>2016-12-23 (US FDA); 2017 (EMA/others)</t>
  </si>
  <si>
    <t>NCT02193074 | NCT02292537</t>
  </si>
  <si>
    <t>ASO modulating SMN2 splicing to increase SMN protein</t>
  </si>
  <si>
    <t>Spinal muscular atrophy (all types approved per label)</t>
  </si>
  <si>
    <t>Inotersen (Tegsedi)</t>
  </si>
  <si>
    <t>2018-10-05 (US FDA); 2018-07-11 (EU)</t>
  </si>
  <si>
    <t>NCT01737398</t>
  </si>
  <si>
    <t>ASO targeting transthyretin (TTR) mRNA</t>
  </si>
  <si>
    <t>Volanesorsen (Waylivra)</t>
  </si>
  <si>
    <t>Y (EU/Canada/Brazil; not US)</t>
  </si>
  <si>
    <t>2019-05-03 (EU)</t>
  </si>
  <si>
    <t>NCT02211209</t>
  </si>
  <si>
    <t>ASO targeting apolipoprotein C-III (apoC-III) mRNA</t>
  </si>
  <si>
    <t>Familial chylomicronemia syndrome (FCS)</t>
  </si>
  <si>
    <t>Tofersen (Qalsody)</t>
  </si>
  <si>
    <t>Y (US – accelerated)</t>
  </si>
  <si>
    <t>2023-04-25 (US FDA)</t>
  </si>
  <si>
    <t>NCT02623699</t>
  </si>
  <si>
    <t>ASO targeting SOD1 mRNA</t>
  </si>
  <si>
    <t>SOD1-mutant ALS</t>
  </si>
  <si>
    <t>Eplontersen (Wainua)</t>
  </si>
  <si>
    <t>2023-12-21 (US FDA)</t>
  </si>
  <si>
    <t>NCT04136184</t>
  </si>
  <si>
    <t>GalNAc-conjugated ASO (LICA) targeting TTR mRNA</t>
  </si>
  <si>
    <t>Olezarsen (TRYNGOLZA)</t>
  </si>
  <si>
    <t>2024-12-19 (US FDA)</t>
  </si>
  <si>
    <t>GalNAc-conjugated ASO targeting apoC-III mRNA</t>
  </si>
  <si>
    <t>Donidalorsen (DAWNZERA)</t>
  </si>
  <si>
    <t>2025-08-21 (US FDA)</t>
  </si>
  <si>
    <t>GalNAc-conjugated ASO targeting plasma prekallikrein (PKK/KLKB1) mRNA</t>
  </si>
  <si>
    <t>Hereditary angioedema (HAE) prophylaxis (≥12y)</t>
  </si>
  <si>
    <t>Pelacarsen (TQJ230; AKCEA-APO(a)-LRx)</t>
  </si>
  <si>
    <t>NCT04023552</t>
  </si>
  <si>
    <t>GalNAc-ASO targeting apolipoprotein(a) [LPA] mRNA</t>
  </si>
  <si>
    <t>ASCVD risk reduction in patients with elevated Lp(a)</t>
  </si>
  <si>
    <t>Bepirovirsen (GSK3228836; IONIS-HBVRx)</t>
  </si>
  <si>
    <t>ASO targeting hepatitis B virus (HBV) transcripts</t>
  </si>
  <si>
    <t>Chronic hepatitis B</t>
  </si>
  <si>
    <t>Tominersen (RG6042; IONIS-HTTRx)</t>
  </si>
  <si>
    <t>ASO targeting huntingtin (HTT) mRNA</t>
  </si>
  <si>
    <t>Huntington’s disease</t>
  </si>
  <si>
    <t>BIIB080 (IONIS-MAPTRx)</t>
  </si>
  <si>
    <t>ASO targeting microtubule-associated protein tau (MAPT) mRNA</t>
  </si>
  <si>
    <t>Alzheimer’s disease</t>
  </si>
  <si>
    <t>BIIB078 (IONIS-C9Rx)</t>
  </si>
  <si>
    <t>N (program stopped)</t>
  </si>
  <si>
    <t>ASO targeting C9orf72 repeat expansions</t>
  </si>
  <si>
    <t>ALS (C9orf72)</t>
  </si>
  <si>
    <t>BIIB105 (ION541) – Ataxin-2</t>
  </si>
  <si>
    <t>N (program stopped 2024)</t>
  </si>
  <si>
    <t>ASO targeting ATXN2 mRNA</t>
  </si>
  <si>
    <t>ALS (sporadic/familial)</t>
  </si>
  <si>
    <t>ION363 (jacifusen)</t>
  </si>
  <si>
    <t>ASO targeting FUS mRNA</t>
  </si>
  <si>
    <t>FUS-mutant ALS</t>
  </si>
  <si>
    <t>ION373 (zilganersen)</t>
  </si>
  <si>
    <t>GalNAc-ASO targeting GFAP mRNA</t>
  </si>
  <si>
    <t>Alexander disease</t>
  </si>
  <si>
    <t>IONIS-FB-LRx</t>
  </si>
  <si>
    <t>GalNAc-ASO targeting Complement Factor B (CFB) mRNA</t>
  </si>
  <si>
    <t>IgA nephropathy; C3 glomerulopathy</t>
  </si>
  <si>
    <t>IONIS-FXI-LRx</t>
  </si>
  <si>
    <t>GalNAc-ASO targeting Factor XI (F11) mRNA</t>
  </si>
  <si>
    <t>Thrombosis prevention / anticoagulation</t>
  </si>
  <si>
    <t>IONIS-FXIRx (ISIS 416858)</t>
  </si>
  <si>
    <t>ASO targeting Factor XI (F11) mRNA (pre‑LICA)</t>
  </si>
  <si>
    <t>Anticoagulation (various settings)</t>
  </si>
  <si>
    <t>IONIS-AGT-LRx</t>
  </si>
  <si>
    <t>GalNAc-ASO targeting angiotensinogen (AGT) mRNA</t>
  </si>
  <si>
    <t>IONIS-ENaC-2.5Rx</t>
  </si>
  <si>
    <t>N (program halted)</t>
  </si>
  <si>
    <t>Inhaled ASO targeting epithelial sodium channel (SCNN1A/B/G)</t>
  </si>
  <si>
    <t>Cystic fibrosis (lung)</t>
  </si>
  <si>
    <t>IONIS-DMPK-2.5Rx</t>
  </si>
  <si>
    <t>ASO targeting DMPK mRNA</t>
  </si>
  <si>
    <t>Myotonic dystrophy type 1 (DM1)</t>
  </si>
  <si>
    <t>IONIS-AATRx / IONIS-AAT-LRx</t>
  </si>
  <si>
    <t>ASO targeting SERPINA1 (alpha‑1 antitrypsin) mRNA</t>
  </si>
  <si>
    <t>AATD-related liver disease</t>
  </si>
  <si>
    <t>IONIS-PNPLA3-LRx (ION224)</t>
  </si>
  <si>
    <t>GalNAc-ASO targeting PNPLA3 mRNA</t>
  </si>
  <si>
    <t>NASH / MASLD</t>
  </si>
  <si>
    <t>Vupanorsen (AKCEA-ANGPTL3-LRx; IONIS-ANGPTL3-LRx)</t>
  </si>
  <si>
    <t>N (program discontinued 2022)</t>
  </si>
  <si>
    <t>GalNAc-ASO targeting ANGPTL3 mRNA</t>
  </si>
  <si>
    <t>Mixed dyslipidemia / hypertriglyceridemia</t>
  </si>
  <si>
    <t>Danvatirsen (AZD9150; IONIS‑STAT3‑2.5Rx)</t>
  </si>
  <si>
    <t>ASO targeting STAT3 mRNA</t>
  </si>
  <si>
    <t>Hepatocellular carcinoma; lymphoma; solid tumors</t>
  </si>
  <si>
    <t>AZD4785 (IONIS‑KRAS‑2.5Rx)</t>
  </si>
  <si>
    <t>ASO targeting KRAS mRNA</t>
  </si>
  <si>
    <t>Solid tumors with KRAS activation</t>
  </si>
  <si>
    <t>Alicaforsen (ISIS-2302)</t>
  </si>
  <si>
    <t>NCT00048113</t>
  </si>
  <si>
    <t>ASO targeting ICAM‑1 mRNA</t>
  </si>
  <si>
    <t>Crohn’s disease; ulcerative colitis; pouchitis</t>
  </si>
  <si>
    <t>Aprinocarsen (ISIS-3521)</t>
  </si>
  <si>
    <t>ASO targeting PKC‑α mRNA</t>
  </si>
  <si>
    <t>Non‑small cell lung cancer and other solid tumors</t>
  </si>
  <si>
    <t>ISIS‑5132 (CGP 69846A)</t>
  </si>
  <si>
    <t>ASO targeting c‑RAF mRNA</t>
  </si>
  <si>
    <t>Advanced cancers</t>
  </si>
  <si>
    <t>ISIS‑2503 (CGP 69846B)</t>
  </si>
  <si>
    <t>ASO targeting H‑RAS mRNA</t>
  </si>
  <si>
    <t>BIIB094 (IONIS‑LRRK2Rx)</t>
  </si>
  <si>
    <t>ASO targeting LRRK2 mRNA</t>
  </si>
  <si>
    <t>Parkinson’s disease (LRRK2)</t>
  </si>
  <si>
    <t>ION464</t>
  </si>
  <si>
    <t>ASO targeting GBA (glucocerebrosidase) pathway</t>
  </si>
  <si>
    <t>Multiple system atrophy / Parkinsonian disorders</t>
  </si>
  <si>
    <t>https://www.sanofi.com/assets/dotcom/pressreleases/2025/2025-01-30-06-30-00-3017713-en.pdf</t>
  </si>
  <si>
    <t>https://www.globenewswire.com/news-release/2025/02/04/3020099/0/en/Regeneron-Reports-Fourth-Quarter-and-Full-Year-2024-Financial-and-Operating-Results-Initiates-Quarterly-Dividend-and-Increases-Total-Share-Repurchase-Capacity-to-4-5-Billion.html</t>
  </si>
  <si>
    <t>https://assets.roche.com/imported/08_Finance_Report_2022.pdf</t>
  </si>
  <si>
    <t>https://investors.kiniksa.com/node/11446/pdf</t>
  </si>
  <si>
    <t>Molecule / Therapy</t>
  </si>
  <si>
    <t>Approved? (Y/N)</t>
  </si>
  <si>
    <t>Approval Date (YYYY-MM-DD)</t>
  </si>
  <si>
    <t>Key Clinical Trial(s) (NCT#)</t>
  </si>
  <si>
    <t>Xanomeline + Trospium (KarXT / Cobenfy)</t>
  </si>
  <si>
    <t>2024-09-26</t>
  </si>
  <si>
    <t>NCT04659161 | NCT04738123 | NCT03697252</t>
  </si>
  <si>
    <t>Central M1/M4 muscarinic receptor agonism (xanomeline) with peripheral muscarinic antagonism (trospium) to limit cholinergic AEs</t>
  </si>
  <si>
    <t>Schizophrenia (adults)</t>
  </si>
  <si>
    <t>≈$62M (2025 YTD Q1–Q2); quarterly peak ≈$35M (Q2’25)</t>
  </si>
  <si>
    <t>Deupirfenidone (LYT-100)</t>
  </si>
  <si>
    <t>NCT05321420 | NCT04243837</t>
  </si>
  <si>
    <t>Selectively deuterated pirfenidone; antifibrotic/anti‑inflammatory small molecule</t>
  </si>
  <si>
    <t>Idiopathic Pulmonary Fibrosis (IPF); also studied in lymphedema/long COVID</t>
  </si>
  <si>
    <t>Brexanolone caprilcerbate (LYT‑300 / SPT‑300)</t>
  </si>
  <si>
    <t>NCT05129865 | NCT07065240</t>
  </si>
  <si>
    <t>Orally active prodrug of allopregnanolone; GABA_A positive allosteric modulator via neurosteroid pathway</t>
  </si>
  <si>
    <t>Major Depressive Disorder with anxious distress; anxiety disorders (program)</t>
  </si>
  <si>
    <t>Anti‑galectin‑9 mAb (LYT‑200; now Gallop Oncology)</t>
  </si>
  <si>
    <t>NCT05243324 | NCT05203652</t>
  </si>
  <si>
    <t>Monoclonal antibody targeting galectin‑9 (immune checkpoint modulator)</t>
  </si>
  <si>
    <t>AML / high‑risk MDS; advanced solid tumors incl. head &amp; neck</t>
  </si>
  <si>
    <t>IMB‑150 (formerly LYT‑503) – intravesical lidocaine (Alivio platform)</t>
  </si>
  <si>
    <t>Phase 1 started (GainMe‑IC); NCT not posted</t>
  </si>
  <si>
    <t>Inflammation‑targeted, sustained‑release lidocaine microparticles for local analgesia</t>
  </si>
  <si>
    <t>Interstitial Cystitis / Bladder Pain Syndrome (IC/BPS)</t>
  </si>
  <si>
    <t>VE303 (Vedanta Biosciences)</t>
  </si>
  <si>
    <t>NCT03788434</t>
  </si>
  <si>
    <t>Defined bacterial consortium to restore gut microbiota; prevent C. difficile recurrence</t>
  </si>
  <si>
    <t>Prevention of recurrent C. difficile infection (rCDI)</t>
  </si>
  <si>
    <t>VE202 (Vedanta Biosciences)</t>
  </si>
  <si>
    <t>NCT05370885</t>
  </si>
  <si>
    <t>Defined bacterial consortium modulating immune tone</t>
  </si>
  <si>
    <t>Ulcerative Colitis (mild–moderate)</t>
  </si>
  <si>
    <t>VE416 (Vedanta Biosciences)</t>
  </si>
  <si>
    <t>NCT03936998</t>
  </si>
  <si>
    <t>Defined bacterial consortium adjunct to oral immunotherapy (OIT) to reduce allergic responses</t>
  </si>
  <si>
    <t>Peanut allergy (adjunct to OIT)</t>
  </si>
  <si>
    <t>VE800 (Vedanta Biosciences)</t>
  </si>
  <si>
    <t>NCT04208958</t>
  </si>
  <si>
    <t>Defined bacterial consortium to enhance anti‑tumor immunity; combined with nivolumab</t>
  </si>
  <si>
    <t>Selected advanced/metastatic solid tumors (IO combo)</t>
  </si>
  <si>
    <t>Trem‑cel (VOR33) – CD33‑deleted HSPC transplant</t>
  </si>
  <si>
    <t>NCT04849910</t>
  </si>
  <si>
    <t>CRISPR/Cas9‑edited donor HSPCs lacking CD33 to enable CD33‑directed therapies post‑HCT</t>
  </si>
  <si>
    <t>AML / MDS patients undergoing allogeneic HCT</t>
  </si>
  <si>
    <t>VCAR33ALLO – donor‑derived anti‑CD33 CAR‑T</t>
  </si>
  <si>
    <t>NCT05984199</t>
  </si>
  <si>
    <t>Donor‑derived allogeneic CD33‑directed CAR‑T to eradicate residual AML</t>
  </si>
  <si>
    <t>Relapsed/Refractory AML post‑alloHCT</t>
  </si>
  <si>
    <t>RTB101 (resTORbio)</t>
  </si>
  <si>
    <t>NCT04668352 | NCT04139915</t>
  </si>
  <si>
    <t>Oral TORC1/mTOR pathway inhibitor; immunomodulatory</t>
  </si>
  <si>
    <t>Prevention of respiratory illness in older adults (failed Phase 3)</t>
  </si>
  <si>
    <t>Alteplase</t>
  </si>
  <si>
    <t>Bevacizumab</t>
  </si>
  <si>
    <t>Dornase alfa</t>
  </si>
  <si>
    <t>Efalizumab</t>
  </si>
  <si>
    <t>Y (withdrawn 2009)</t>
  </si>
  <si>
    <t>Erlotinib</t>
  </si>
  <si>
    <t>Omalizumab</t>
  </si>
  <si>
    <t>Ranibizumab</t>
  </si>
  <si>
    <t>Rituximab</t>
  </si>
  <si>
    <t>Somatrem</t>
  </si>
  <si>
    <t>Protropin</t>
  </si>
  <si>
    <t>Somatropin</t>
  </si>
  <si>
    <t>Tenecteplase</t>
  </si>
  <si>
    <t>TNKase</t>
  </si>
  <si>
    <t>Trastuzumab</t>
  </si>
  <si>
    <t>Navitoclax (Abbott/AbbVie collaborator)</t>
  </si>
  <si>
    <t>CLL; lymphoid malignancies; solid tumors (combo)</t>
  </si>
  <si>
    <t>Linifanib (Abbott collaborator)</t>
  </si>
  <si>
    <t>Hepatocellular carcinoma; RCC; solid tumors (combo)</t>
  </si>
  <si>
    <t>MNRP1685A</t>
  </si>
  <si>
    <t>NCT00747734</t>
  </si>
  <si>
    <t>Monoclonal antibody to tissue factor (TF)</t>
  </si>
  <si>
    <t>Monoclonal antibody targeting oxidized LDL</t>
  </si>
  <si>
    <t>Secondary prevention of cardiovascular events</t>
  </si>
  <si>
    <t>Apomab</t>
  </si>
  <si>
    <t>Cobimetinib</t>
  </si>
  <si>
    <t>Dacetuzumab</t>
  </si>
  <si>
    <t>Dulanermin</t>
  </si>
  <si>
    <t>Erlizumab</t>
  </si>
  <si>
    <t>Etrolizumab</t>
  </si>
  <si>
    <t>IAP antagonist; SMAC mimetic</t>
  </si>
  <si>
    <t>NCT00977067</t>
  </si>
  <si>
    <t>INS365</t>
  </si>
  <si>
    <t>Lanoteplase</t>
  </si>
  <si>
    <t>nPA (novel plasminogen activator)</t>
  </si>
  <si>
    <t>Engineered tPA variant; fibrinolytic</t>
  </si>
  <si>
    <t>Acute myocardial infarction (InTIME trials)</t>
  </si>
  <si>
    <t>Lebrikizumab</t>
  </si>
  <si>
    <t>Obinutuzumab</t>
  </si>
  <si>
    <t>Ocrelizumab</t>
  </si>
  <si>
    <t>Onartuzumab</t>
  </si>
  <si>
    <t>Pertuzumab</t>
  </si>
  <si>
    <t>rhNGF</t>
  </si>
  <si>
    <t>Rontalizumab</t>
  </si>
  <si>
    <t>Systemic lupus erythematosus</t>
  </si>
  <si>
    <t>Tezosentan</t>
  </si>
  <si>
    <t>Actelion endothelin receptor antagonist (i.v.)</t>
  </si>
  <si>
    <t>Acute heart failure</t>
  </si>
  <si>
    <t>Vismodegib</t>
  </si>
  <si>
    <t>Peak Sales Projections (USD)</t>
  </si>
  <si>
    <t>Projection Sources</t>
  </si>
  <si>
    <t>$10B global peak (Stifel; FiercePharma, 2024-10-07); &gt;$6B peak (WSJ, 2024-09-26); $4.9B by 2034 (Visible Alpha consensus, 2024-10-03); $2.6B in 2030 after ARISE adj. failure (Leerink Partners; FiercePharma, 2025-04-23); $2.2B across 7MM by 2031 (GlobalData, 2024-12-16)</t>
  </si>
  <si>
    <t>FiercePharma (Oct 7, 2024): https://www.fiercepharma.com/pharma/bmss-newly-approved-schizophrenia-drug-cobenfy-what-long-strange-trip-its-been | Wall Street Journal (Sep 26, 2024): https://www.wsj.com/health/pharma/first-novel-schizophrenia-treatment-in-decades-gains-fda-approval-730813e8 | Visible Alpha (Oct 3, 2024): https://visiblealpha.com/blog/bristol-myers-squibbs-cobenfy-and-the-next-generation-of-schizophrenia-drugs/ | FiercePharma (Apr 23, 2025): https://www.fiercepharma.com/pharma/bristol-myers-schizophrenia-drug-cobenfy-stumbles-adjunctive-treatment-denting-blockbuster | GlobalData (Dec 16, 2024): https://www.globaldata.com/media/pharma/schizophrenia-market-reach-17-0-billion-7mm-2031-forecasts-globaldata/</t>
  </si>
  <si>
    <t>Avg Projected Peak Sales (USD)</t>
  </si>
  <si>
    <t>$5B</t>
  </si>
  <si>
    <t>List price ‚âà $1.8M/yr (Pharmaphorum) √ó &lt;100 patients worldwide (Reuters) ‚áí ‚âà$180M gross if every known patient treated; real-world net sales likely lower; REGN does not break out Veopoz and aggregates within 'Other products'.</t>
  </si>
  <si>
    <t>Pharmaphorum (price); Reuters (prevalence)</t>
  </si>
  <si>
    <t xml:space="preserve">Projected </t>
  </si>
  <si>
    <t>Analyst consensus forecast (GlobalData)</t>
  </si>
  <si>
    <t>2030 (569) / 2035 (800)</t>
  </si>
  <si>
    <t>Analyst forecasts (GlobalData; TD Cowen)</t>
  </si>
  <si>
    <t>Peak Sales Source</t>
  </si>
  <si>
    <t>Projection (USD)</t>
  </si>
  <si>
    <t>Projection Source</t>
  </si>
  <si>
    <t>Unknown (not publicly disclosed)</t>
  </si>
  <si>
    <t>Isis 2000 10‑K notes approval; sales not broken out</t>
  </si>
  <si>
    <t>Commercialization ceased in 2004 given sharp decline in CMV retinitis incidence with HAART; limited distribution thereafter.</t>
  </si>
  <si>
    <t>No partner product-level breakouts; sales later discontinued by Kastle (2018)</t>
  </si>
  <si>
    <t>US approval 2013; US NDA later withdrawn (2019). Rights sold to Kastle (2016).</t>
  </si>
  <si>
    <t>Biogen 2019 press releases</t>
  </si>
  <si>
    <t>Peak year to date: 2019. Ionis receives royalties.</t>
  </si>
  <si>
    <t>Sobi Annual &amp; Sustainability Report 2023 (product sales Tegsedi 305 M SEK)</t>
  </si>
  <si>
    <t>Ionis recognizes distribution fees/royalties; Sobi discloses product sales. 2023 appears near peak-to-date.</t>
  </si>
  <si>
    <t>Sobi Annual &amp; Sustainability Report 2023 (product sales Waylivra 212 M SEK)</t>
  </si>
  <si>
    <t>US never approved; marketed in EU/CA.</t>
  </si>
  <si>
    <t>Ionis FY2024 press release citing Biogen sales</t>
  </si>
  <si>
    <t>Biopharma Dive (analyst estimate)</t>
  </si>
  <si>
    <t>Small genetic subpopulation limits market size; growth ongoing OUS.</t>
  </si>
  <si>
    <t>Ionis FY2024 press release (royalty calc from $85M sales)</t>
  </si>
  <si>
    <t>Reuters (William Blair for PN); Reuters/Benzinga citing analysts for CM expansion</t>
  </si>
  <si>
    <t>ATTR‑CM sNDA/MAA in progress; auto‑injector self‑administered.</t>
  </si>
  <si>
    <t>Reuters (BMO for FCS); Reuters (Jefferies) for sHTG expansion</t>
  </si>
  <si>
    <t>FDA approval for FCS; Phase 3 CORE/Core2 in sHTG positive; expansion could materially increase peak.</t>
  </si>
  <si>
    <t>Reuters (analyst consensus around approval)</t>
  </si>
  <si>
    <t>First RNA‑targeted HAE prophylaxis; Q4'25 launch ramp expected.</t>
  </si>
  <si>
    <t>Multiple Phase II/III in 1990s–2000s; not approved.</t>
  </si>
  <si>
    <t>Phase III NSCLC (circa 2000–2003) negative.</t>
  </si>
  <si>
    <t>Phase I/II showed target knockdown; minimal efficacy in Phase II; deprioritized.</t>
  </si>
  <si>
    <t>Advanced into Phase II (2000–2001 timeframe).</t>
  </si>
  <si>
    <t>ISIS 14803</t>
  </si>
  <si>
    <t>HCV RNA antisense</t>
  </si>
  <si>
    <t>Chronic hepatitis C</t>
  </si>
  <si>
    <t>Entered Phase I/II in 2000; later discontinued.</t>
  </si>
  <si>
    <t>ISIS 104838</t>
  </si>
  <si>
    <t>TNF‑α antisense (2'‑MOE)</t>
  </si>
  <si>
    <t>Rheumatoid arthritis; psoriasis (topical/IV/SC)</t>
  </si>
  <si>
    <t>First 2'‑MOE antisense to enter clinic (2000).</t>
  </si>
  <si>
    <t>ISIS 113715</t>
  </si>
  <si>
    <t>PTP‑1B antisense</t>
  </si>
  <si>
    <t>Type 2 diabetes (insulin sensitizer)</t>
  </si>
  <si>
    <t>Advanced to Phase II by 2005; not approved.</t>
  </si>
  <si>
    <t>iCo‑007 (formerly ISIS 13650)</t>
  </si>
  <si>
    <t>c‑Raf kinase antisense (intravitreal)</t>
  </si>
  <si>
    <t>Diabetic macular edema (DME); retinal neovascular diseases</t>
  </si>
  <si>
    <t>Entered Phase I (2008); later discontinued after Phase II iDEAL.</t>
  </si>
  <si>
    <t>ATL1102 (formerly ISIS 107248)</t>
  </si>
  <si>
    <t>CD49d (VLA‑4) antisense</t>
  </si>
  <si>
    <t>Multiple sclerosis (original); later DMD (investigator-led)</t>
  </si>
  <si>
    <t>Phase II in MS (mid‑2000s); later DMD programs.</t>
  </si>
  <si>
    <t>ATL1101</t>
  </si>
  <si>
    <t>IGF‑1 receptor antisense (topical)</t>
  </si>
  <si>
    <t>Psoriasis (topical cream)</t>
  </si>
  <si>
    <t>Entered Phase I per 2005 10‑K; not approved.</t>
  </si>
  <si>
    <t>Clusterin antisense</t>
  </si>
  <si>
    <t>Prostate cancer; NSCLC; others</t>
  </si>
  <si>
    <t>Multiple Phase II/III; ultimately negative.</t>
  </si>
  <si>
    <t>LY2181308</t>
  </si>
  <si>
    <t>Survivin antisense</t>
  </si>
  <si>
    <t>Solid tumors (oncology)</t>
  </si>
  <si>
    <t>Advanced to Phase I by 2005; not approved.</t>
  </si>
  <si>
    <t>LY2275796</t>
  </si>
  <si>
    <t>eIF‑4E antisense</t>
  </si>
  <si>
    <t>OGX‑427</t>
  </si>
  <si>
    <t>Hsp27 antisense</t>
  </si>
  <si>
    <t>Oncology (multiple)</t>
  </si>
  <si>
    <t>Entered clinic post‑2005; not approved.</t>
  </si>
  <si>
    <t>Molecule (generic name)</t>
  </si>
  <si>
    <t>Relay code / alias</t>
  </si>
  <si>
    <t>Also known as</t>
  </si>
  <si>
    <t>Approval date (YYYY-MM-DD)</t>
  </si>
  <si>
    <t>Clinical trial ID(s)</t>
  </si>
  <si>
    <t>Peak sales achieved (USD, WW)</t>
  </si>
  <si>
    <t>Peak sales projection if approved in last 8y (USD)</t>
  </si>
  <si>
    <t>lirafugratinib</t>
  </si>
  <si>
    <t>RLY-4008</t>
  </si>
  <si>
    <t>NCT04526106</t>
  </si>
  <si>
    <t>Selective, irreversible FGFR2 inhibitor (small-molecule)</t>
  </si>
  <si>
    <t>Elevar Therapeutics (global rights)</t>
  </si>
  <si>
    <t>https://www.cancer.gov/research/participate/clinical-trials-search/v?id=NCI-2020-06870; https://clinicaltrials.ucsf.edu/trial/NCT04526106</t>
  </si>
  <si>
    <t>https://pmc.ncbi.nlm.nih.gov/articles/PMC10481131/</t>
  </si>
  <si>
    <t>https://ascopubs.org/doi/10.1200/JCO.2023.41.16_suppl.4009</t>
  </si>
  <si>
    <t>https://ir.relaytx.com/news-releases/news-release-details/relay-therapeutics-and-elevar-therapeutics-announce-exclusive; https://elevartx.com/lirafugratinib/</t>
  </si>
  <si>
    <t>RLY-2608</t>
  </si>
  <si>
    <t>NCT05216432; NCT06982521; NCT06789913</t>
  </si>
  <si>
    <t>Relay Therapeutics</t>
  </si>
  <si>
    <t>https://clinicaltrials.gov/study/NCT05216432; https://www.dana-farber.org/clinical-trials/25-541; https://www.cancer.gov/clinicaltrials/NCI-2025-04974; https://relaytx.com/patients/</t>
  </si>
  <si>
    <t>https://pubmed.ncbi.nlm.nih.gov/37916956/</t>
  </si>
  <si>
    <t>https://www.onclive.com/view/rly-2608-plus-fulvestrant-demonstrates-efficacy-in-pik3ca-mutated-hr-her2-advanced-breast-cancer; https://relaytx.com/patients/</t>
  </si>
  <si>
    <t>https://ir.relaytx.com/news-releases/news-release-details/relay-therapeutics-announces-updated-data-rly-2608-fulvestrant; https://ir.relaytx.com/news-releases/news-release-details/relay-therapeutics-reports-second-quarter-2025-financial-results</t>
  </si>
  <si>
    <t>migoprotafib</t>
  </si>
  <si>
    <t>RLY-1971 (aka GDC-1971)</t>
  </si>
  <si>
    <t>GDC-1971</t>
  </si>
  <si>
    <t>NCT04252339; NCT05954871</t>
  </si>
  <si>
    <t>Allosteric SHP2 inhibitor</t>
  </si>
  <si>
    <t>Genentech/Roche (licensed 2020; collab later ended; combo studies ongoing)</t>
  </si>
  <si>
    <t>https://forpatients.roche.com/content/dam/patient-platform/lps/global/go43242/LPS_GO43242_final-results_May2024_English.pdf; https://ckb-core.genomenon.com/clinicalTrial/show?nctId=NCT05954871</t>
  </si>
  <si>
    <t>https://pubmed.ncbi.nlm.nih.gov/37774359/</t>
  </si>
  <si>
    <t>https://aacrjournals.org/cancerres/article/85/8_Supplement_2/CT022/761573/Abstract-CT022-Divarasib-plus-migoprotafib</t>
  </si>
  <si>
    <t>https://ir.relaytx.com/news-releases/news-release-details/relay-therapeutics-announces-worldwide-license-and-collaboration; https://www.biopharmatrend.com/news/genentech-ends-shp2-inhibitor-collaboration-with-relay-therapeutics-860/</t>
  </si>
  <si>
    <t>RLY-5836</t>
  </si>
  <si>
    <t>NCT05759949</t>
  </si>
  <si>
    <t>https://www.cancer.gov/research/participate/clinical-trials-search/v?id=NCI-2023-02774; https://aging.networkofcare.org/riverside/CommunityResources/ClinicalTrials/Detail/NCT05759949</t>
  </si>
  <si>
    <t>https://aacrjournals.org/cancerres/article/84/9_Supplement/PO3-20-04/744789/Abstract-PO3-20-04-A-first-in-human-study-of-the</t>
  </si>
  <si>
    <t>https://www.dana-farber.org/clinical-trials/23-050</t>
  </si>
  <si>
    <t>https://ir.relaytx.com/news-releases/news-release-details/relay-therapeutics-reports-fourth-quarter-and-full-year-2023; https://www.oncologypipeline.com/apexonco/sabcs-2024-lillys-pi3ka-push-no-longer-mutation-specific</t>
  </si>
  <si>
    <t>Custirsen (OGX‑011) — clusterin ASO</t>
  </si>
  <si>
    <t>Also_Known_As</t>
  </si>
  <si>
    <t>Originator</t>
  </si>
  <si>
    <t>Current_Developer_or_Partner</t>
  </si>
  <si>
    <t>Approved_(Y/N)</t>
  </si>
  <si>
    <t>Approval_Date</t>
  </si>
  <si>
    <t>Clinical_Trial_IDs</t>
  </si>
  <si>
    <t>Target</t>
  </si>
  <si>
    <t>Mechanism</t>
  </si>
  <si>
    <t>Primary_Indications</t>
  </si>
  <si>
    <t>Peak_Global_Sales_Achieved_USD</t>
  </si>
  <si>
    <t>Peak_Sales_Projection_if_Approved_in_Last_8y_USD</t>
  </si>
  <si>
    <t>Status_as_of_2025-09-04</t>
  </si>
  <si>
    <t>Sources</t>
  </si>
  <si>
    <t>DES-7114</t>
  </si>
  <si>
    <t>LY-3972406 (Lilly internal code)</t>
  </si>
  <si>
    <t>D. E. Shaw Research (DESRES)</t>
  </si>
  <si>
    <t>Eli Lilly (global license from DESRES, June 2022)</t>
  </si>
  <si>
    <t>NCT06176768 (Phase 2); 2023-504485-39-00 (EU CTIS); Sponsor ID J4H-MC-FVAA</t>
  </si>
  <si>
    <t>Kv1.3 (KCNA3)</t>
  </si>
  <si>
    <t>Selective small-molecule Kv1.3 blocker</t>
  </si>
  <si>
    <t>Plaque psoriasis (Phase 2); preclinical in ulcerative colitis, Crohn‚Äôs disease, atopic dermatitis</t>
  </si>
  <si>
    <t>Completed Phase 2 psoriasis study (NCT06176768); partner reportedly discontinued program Aug 2025</t>
  </si>
  <si>
    <t>https://www.deshawresearch.com/drug-discovery.html; https://www.prnewswire.com/news-releases/d-e-shaw-research-licenses-first-in-class-therapeutic-for-immunological-diseases-to-lilly-301566618.html; https://www.clinicaltrials.gov/study/NCT06176768; https://www.centerwatch.com/clinical-trials/listings/NCT06176768/a-study-of-ly3972406-in-adult-participants-with-moderate-to-severe-plaque-psoriasis; https://trials.lilly.com/en-US/trial/445157; https://adisinsight.springer.com/drugs/800069032; https://www.pharmaceutical-technology.com/data-insights/ly-3972406-eli-lilly-and-co-plaque-psoriasis-psoriasis-vulgaris-likelihood-of-approval/; https://www.fiercebiotech.com/biotech/eli-lilly-shakes-pain-pipeline-part-quarterly-rd-clearout</t>
  </si>
  <si>
    <t>DES-9384</t>
  </si>
  <si>
    <t>DESRES</t>
  </si>
  <si>
    <t>Not publicly listed; company reports Phase 1 started in 2023</t>
  </si>
  <si>
    <t>TRPA1</t>
  </si>
  <si>
    <t>TRPA1 antagonist</t>
  </si>
  <si>
    <t>Chronic cough; pain (arthritic pain, diabetic neuropathy, chronic low back pain); rheumatoid arthritis</t>
  </si>
  <si>
    <t>Phase 1 (healthy volunteers) per company</t>
  </si>
  <si>
    <t>https://www.deshawresearch.com/drug-discovery.html; https://synapse.patsnap.com/drug/80abce9977994e49a1342a1d8ede5532</t>
  </si>
  <si>
    <t>DES-7987</t>
  </si>
  <si>
    <t>Not publicly listed; company reports Phase 1 started in 2025</t>
  </si>
  <si>
    <t>KCa3.1 (KCNN4)</t>
  </si>
  <si>
    <t>KCa3.1 inhibitor</t>
  </si>
  <si>
    <t>Asthma; ischemic stroke; lung fibrosis</t>
  </si>
  <si>
    <t>https://www.deshawresearch.com/drug-discovery.html</t>
  </si>
  <si>
    <t>Lirafugratinib</t>
  </si>
  <si>
    <t>Relay Therapeutics in collaboration with DESRES (joint IP referenced)</t>
  </si>
  <si>
    <t>Elevar Therapeutics (global license from Relay, Dec 2024)</t>
  </si>
  <si>
    <t>NCT04526106 (ReFocus; first-in-human/Phase 1/2)</t>
  </si>
  <si>
    <t>FGFR2</t>
  </si>
  <si>
    <t>Highly selective, covalent FGFR2 inhibitor</t>
  </si>
  <si>
    <t>FGFR2-driven cholangiocarcinoma; other FGFR2-altered solid tumors</t>
  </si>
  <si>
    <t>NDA-ready; Elevar holds worldwide rights</t>
  </si>
  <si>
    <t>https://www.deshawresearch.com/drug-discovery.html; https://www.mykancergenome.org/content/clinical_trials/NCT04526106/; https://ir.relaytx.com/news-releases/news-release-details/relay-therapeutics-announces-initial-rly-4008-lirafugratinib; https://ir.relaytx.com/news-releases/news-release-details/relay-therapeutics-and-elevar-therapeutics-announce-exclusive; https://elevartx.com/lirafugratinib/; https://www.pnas.org/doi/10.1073/pnas.2317756121; https://pmc.ncbi.nlm.nih.gov/articles/PMC10481131/</t>
  </si>
  <si>
    <t>Relay Therapeutics in collaboration with DESRES (jointly conceived program)</t>
  </si>
  <si>
    <t>NCT05216432 (Phase 1); NCT06789913 (Phase 2)</t>
  </si>
  <si>
    <t>PI3KŒ± (PIK3CA)</t>
  </si>
  <si>
    <t>Phase 1/2</t>
  </si>
  <si>
    <t>https://www.deshawresearch.com/drug-discovery.html; https://clinicaltrials.gov/study/NCT05216432; https://clinicaltrials.gov/study/NCT06789913; https://pmc.ncbi.nlm.nih.gov/articles/PMC10850943/</t>
  </si>
  <si>
    <t>Relay Therapeutics in collaboration with DESRES</t>
  </si>
  <si>
    <t>Advanced solid tumors with PIK3CA mutations; advanced breast cancer</t>
  </si>
  <si>
    <t>Phase 1</t>
  </si>
  <si>
    <t>https://www.deshawresearch.com/drug-discovery.html; https://www.cancer.gov/research/participate/clinical-trials-search/v?id=NCI-2023-02774; https://www.dana-farber.org/clinical-trials/23-050; https://aacrjournals.org/cancerres/article/84/9_Supplement/PO3-20-04/744789/Abstract-PO3-20-04-A-first-in-human-study-of-the</t>
  </si>
  <si>
    <t>RLY-1971</t>
  </si>
  <si>
    <t>Relay Therapeutics in collaboration with DESRES; licensed to Genentech</t>
  </si>
  <si>
    <t>Genentech/Roche</t>
  </si>
  <si>
    <t>SHP2 (PTPN11)</t>
  </si>
  <si>
    <t>Solid tumors‚Äîprimarily in combinations with KRAS G12C programs (e.g., divarasib) in NSCLC/CRC</t>
  </si>
  <si>
    <t>Multiple Phase 1b/2 combo studies ongoing</t>
  </si>
  <si>
    <t>https://www.deshawresearch.com/drug-discovery.html; https://clinicaltrials.gov/study/NCT04252339; https://clinicaltrials.gov/study/NCT05487235; https://clinicaltrials.gov/study/NCT05954871; https://pubmed.ncbi.nlm.nih.gov/37774359/; https://www.nature.com/articles/s41591-023-02696-8</t>
  </si>
  <si>
    <t>Internal_Code_or_Brand</t>
  </si>
  <si>
    <t>Approved_YN</t>
  </si>
  <si>
    <t>First_Approval</t>
  </si>
  <si>
    <t>Target_or_Mechanism</t>
  </si>
  <si>
    <t>Earliest_Known_TrialID</t>
  </si>
  <si>
    <t>Peak_Global_Sales</t>
  </si>
  <si>
    <t>Peak_Sales_Source</t>
  </si>
  <si>
    <t>Projected_Peak_Sales_(‚â§10y_launch)</t>
  </si>
  <si>
    <t>Projection_Source</t>
  </si>
  <si>
    <t>rt-PA</t>
  </si>
  <si>
    <t>Acute MI; ischemic stroke; PE; catheter clearance</t>
  </si>
  <si>
    <t>Serine protease (tissue plasminogen activator)</t>
  </si>
  <si>
    <t>2000 (MI); 2025 (AIS)</t>
  </si>
  <si>
    <t>Acute MI; acute ischemic stroke (2025)</t>
  </si>
  <si>
    <t>Pulmozyme</t>
  </si>
  <si>
    <t>Recombinant DNase I</t>
  </si>
  <si>
    <t>&gt;$1B peak (global, 2010s)</t>
  </si>
  <si>
    <t>DrugPatentWatch profile</t>
  </si>
  <si>
    <t>Pediatric growth failure</t>
  </si>
  <si>
    <t>Nutropin / Nutropin AQ / Nutropin Depot</t>
  </si>
  <si>
    <t>1993 (US); 1999 (Depot)</t>
  </si>
  <si>
    <t>Growth hormone deficiency &amp; related indications</t>
  </si>
  <si>
    <t>Recombinant hGH (191 aa)</t>
  </si>
  <si>
    <t>$358M (2005, US/Global listed for Nutropin)</t>
  </si>
  <si>
    <t>Wikipedia annual drug sales table</t>
  </si>
  <si>
    <t>Raptiva</t>
  </si>
  <si>
    <t>Plaque psoriasis</t>
  </si>
  <si>
    <t>Rituxan/MabThera</t>
  </si>
  <si>
    <t>CHF 7.3B (2017)</t>
  </si>
  <si>
    <t>Roche Finance Report 2017</t>
  </si>
  <si>
    <t>Herceptin</t>
  </si>
  <si>
    <t>HER2+ breast &amp; gastric cancer</t>
  </si>
  <si>
    <t>CHF ~7.0B (2019)</t>
  </si>
  <si>
    <t>Reuters Jan 2019 (Roche 2019 results)</t>
  </si>
  <si>
    <t>Avastin</t>
  </si>
  <si>
    <t>$7.1B (2019)</t>
  </si>
  <si>
    <t>Xolair</t>
  </si>
  <si>
    <t>Allergic asthma; CSU; food allergy (2024)</t>
  </si>
  <si>
    <t>FiercePharma 2023/2024 coverage</t>
  </si>
  <si>
    <t>Tarceva</t>
  </si>
  <si>
    <t>NSCLC; pancreatic cancer</t>
  </si>
  <si>
    <t>EGFR TKI (small molecule)</t>
  </si>
  <si>
    <t>Lucentis</t>
  </si>
  <si>
    <t>nAMD; DME; RVO</t>
  </si>
  <si>
    <t>$4.41B (2013)</t>
  </si>
  <si>
    <t>Lindsley 2014 (Top 20 2013 global Rx drugs, Lucentis $4.41B)</t>
  </si>
  <si>
    <t>Vemurafenib</t>
  </si>
  <si>
    <t>Zelboraf</t>
  </si>
  <si>
    <t>BRAF V600 inhibitor</t>
  </si>
  <si>
    <t>Perjeta</t>
  </si>
  <si>
    <t>HER2+ breast cancer (neo/adjuvant, metastatic)</t>
  </si>
  <si>
    <t>Advanced basal cell carcinoma</t>
  </si>
  <si>
    <t>SMO (Hedgehog) inhibitor (small molecule)</t>
  </si>
  <si>
    <t>HER2+ breast cancer</t>
  </si>
  <si>
    <t>ADC (HER2 mAb + DM1)</t>
  </si>
  <si>
    <t>MEK1/2 inhibitor (small molecule)</t>
  </si>
  <si>
    <t>FiercePharma 2015</t>
  </si>
  <si>
    <t>Atezolizumab</t>
  </si>
  <si>
    <t>Tecentriq (RG7446)</t>
  </si>
  <si>
    <t>Up to $7B (Credit Suisse 2016 est.)</t>
  </si>
  <si>
    <t>Evaluate/FiercePharma citing Credit Suisse, 2016</t>
  </si>
  <si>
    <t>Gazyva/GA101</t>
  </si>
  <si>
    <t>CLL; FL</t>
  </si>
  <si>
    <t>Ocrevus</t>
  </si>
  <si>
    <t>Multiple sclerosis (RMS &amp; PPMS)</t>
  </si>
  <si>
    <t>&gt;$4B by 2022 (analyst est.)</t>
  </si>
  <si>
    <t>Reuters 2017; Clarivate 2017</t>
  </si>
  <si>
    <t>Polatuzumab vedotin</t>
  </si>
  <si>
    <t>Polivy</t>
  </si>
  <si>
    <t>CHF ~1.12B (2024)</t>
  </si>
  <si>
    <t>Roche 2024 sales cited by BioChemPEG 2025 summary</t>
  </si>
  <si>
    <t>FiercePharma 2021 &amp; 2023</t>
  </si>
  <si>
    <t>Risdiplam</t>
  </si>
  <si>
    <t>Evrysdi</t>
  </si>
  <si>
    <t>Spinal muscular atrophy</t>
  </si>
  <si>
    <t>SMN2 splicing modifier (small molecule)</t>
  </si>
  <si>
    <t>CHF ~1.6B (2024)</t>
  </si>
  <si>
    <t>FiercePharma Feb 2025</t>
  </si>
  <si>
    <t>‚âàCHF 2.0B</t>
  </si>
  <si>
    <t>Reuters Jan 2020 (analyst est.)</t>
  </si>
  <si>
    <t>Faricimab</t>
  </si>
  <si>
    <t>Vabysmo (RG7716)</t>
  </si>
  <si>
    <t>nAMD; DME</t>
  </si>
  <si>
    <t>CHF ~3.86B (2024)</t>
  </si>
  <si>
    <t>$7.7B by 2030</t>
  </si>
  <si>
    <t>Spherix/Tokali 2024</t>
  </si>
  <si>
    <t>Mosunetuzumab</t>
  </si>
  <si>
    <t>Lunsumio</t>
  </si>
  <si>
    <t>Relapsed/Refractory Follicular Lymphoma (3L+ US)</t>
  </si>
  <si>
    <t>‚âà$0.95B by 2030</t>
  </si>
  <si>
    <t>GlobalData (ClinicalTrialsArena) 2024</t>
  </si>
  <si>
    <t>Glofitamab</t>
  </si>
  <si>
    <t>Columvi</t>
  </si>
  <si>
    <t>Relapsed/Refractory DLBCL (2L+ combo expanding)</t>
  </si>
  <si>
    <t>CD20√óCD3 bispecific mAb (2:1 format)</t>
  </si>
  <si>
    <t>Inavolisib</t>
  </si>
  <si>
    <t>2024-10-10 (US)</t>
  </si>
  <si>
    <t>NCT03006172; NCT04191499</t>
  </si>
  <si>
    <t>CHF ~2.3B</t>
  </si>
  <si>
    <t>FiercePharma Oct 2024; FDA Oct 10, 2024</t>
  </si>
  <si>
    <t>rhuMAb CD18 (Hu23F2G)</t>
  </si>
  <si>
    <t>Acute MI; inflammatory indications</t>
  </si>
  <si>
    <t>Recombinant human nerve growth factor</t>
  </si>
  <si>
    <t>Diabetic peripheral neuropathy; neuropathic pain</t>
  </si>
  <si>
    <t>Neurotrophin (NGF)</t>
  </si>
  <si>
    <t>Recombinant human VEGF</t>
  </si>
  <si>
    <t>rhVEGF</t>
  </si>
  <si>
    <t>Peripheral arterial disease / limb ischemia</t>
  </si>
  <si>
    <t>Recombinant human thrombopoietin</t>
  </si>
  <si>
    <t>rhTPO</t>
  </si>
  <si>
    <t>TPO receptor agonist (endogenous ligand)</t>
  </si>
  <si>
    <t>Denufosol</t>
  </si>
  <si>
    <t>Cystic fibrosis (mucociliary clearance)</t>
  </si>
  <si>
    <t>P2Y2 agonist (small molecule)</t>
  </si>
  <si>
    <t>Chronic bronchitis / CF</t>
  </si>
  <si>
    <t>P2Y2 agonist</t>
  </si>
  <si>
    <t>MetMAb (RG3638)</t>
  </si>
  <si>
    <t>Y (EU/UK 2024; not US as of 2025)</t>
  </si>
  <si>
    <t>2024 (EU/UK)</t>
  </si>
  <si>
    <t>Atopic dermatitis</t>
  </si>
  <si>
    <t>Oxelumab</t>
  </si>
  <si>
    <t>Asthma</t>
  </si>
  <si>
    <t>Ulcerative colitis / Crohn‚Äôs disease</t>
  </si>
  <si>
    <t>Lampalizumab</t>
  </si>
  <si>
    <t>Geographic atrophy (AMD)</t>
  </si>
  <si>
    <t>Apo2L/TRAIL</t>
  </si>
  <si>
    <t>Multiple solid tumors / NHL</t>
  </si>
  <si>
    <t>Recombinant human TRAIL ligand (death receptor agonist)</t>
  </si>
  <si>
    <t>Solid tumors / NHL</t>
  </si>
  <si>
    <t>Death receptor 5 agonist mAb</t>
  </si>
  <si>
    <t>Solid tumors (with bevacizumab)</t>
  </si>
  <si>
    <t>NHL / MM (in combinations)</t>
  </si>
  <si>
    <t>NCT00283101 et al.</t>
  </si>
  <si>
    <t>Fenebrutinib</t>
  </si>
  <si>
    <t>Rheumatoid arthritis; MS; other autoimmune</t>
  </si>
  <si>
    <t>BTK inhibitor (reversible, noncovalent)</t>
  </si>
  <si>
    <t>Ipatasertib</t>
  </si>
  <si>
    <t>Prostate cancer; TNBC</t>
  </si>
  <si>
    <t>AKT inhibitor (small molecule)</t>
  </si>
  <si>
    <t>Pictilisib</t>
  </si>
  <si>
    <t>Multiple solid tumors; breast cancer</t>
  </si>
  <si>
    <t>Class I PI3K inhibitor</t>
  </si>
  <si>
    <t>NCT00940498; NCT00960960</t>
  </si>
  <si>
    <t>Apitolisib</t>
  </si>
  <si>
    <t>Solid tumors; endometrial cancer</t>
  </si>
  <si>
    <t>Dual PI3K/mTOR inhibitor</t>
  </si>
  <si>
    <t>Navoximod</t>
  </si>
  <si>
    <t>Solid tumors (with atezolizumab)</t>
  </si>
  <si>
    <t>IDO1 inhibitor</t>
  </si>
  <si>
    <t>NCT02471846; NCT02048709</t>
  </si>
  <si>
    <t>paxalisib</t>
  </si>
  <si>
    <t>N (as Genentech asset)</t>
  </si>
  <si>
    <t>Glioblastoma, PCNSL</t>
  </si>
  <si>
    <t>Divarasib</t>
  </si>
  <si>
    <t>KRAS G12C covalent inhibitor</t>
  </si>
  <si>
    <t>NCT04449874</t>
  </si>
  <si>
    <t>Giredestrant</t>
  </si>
  <si>
    <t>ER+ breast cancer (early &amp; metastatic)</t>
  </si>
  <si>
    <t>Oral SERD (estrogen receptor degrader)</t>
  </si>
  <si>
    <t>Multiple (e.g., NCT04546002; NCT04687236)</t>
  </si>
  <si>
    <t>DLK (MAP3K12) inhibitor</t>
  </si>
  <si>
    <t>ALS (terminated)</t>
  </si>
  <si>
    <t>NCT02655614</t>
  </si>
  <si>
    <t>Crenezumab</t>
  </si>
  <si>
    <t>RG7412</t>
  </si>
  <si>
    <t>Alzheimer‚Äôs disease</t>
  </si>
  <si>
    <t>NCT02670083; NCT03114657; NCT01998841</t>
  </si>
  <si>
    <t>Semorinemab</t>
  </si>
  <si>
    <t>RG6100</t>
  </si>
  <si>
    <t>LAURIET (Phase 2)</t>
  </si>
  <si>
    <t>https://firstwordpharma.com/story/5830090; https://www.fiercepharma.com/pharma/sanofi-regenerons-dupixent-destined-20b-peak-sales-potential-copd-expansion-analyst; https://www.morningstar.com/company-reports/1249264-regenerons-eye-disease-drug-eylea-and-immunology-drug-dupixent-support-a-narrow-moat</t>
  </si>
  <si>
    <t>Projected Peak Sales</t>
  </si>
  <si>
    <t>https://www.williamblair.com/-/media/downloads/eqr/2025/williamblair_large-pharma-deep-dive-the-state-of-the-union-is-not-good.pdf</t>
  </si>
  <si>
    <t>https://www.investing.com/news/analyst-ratings/regeneron-stock-maintains-buy-rating-at-td-cowen-on-lynozyfic-approval-93CH-4122766</t>
  </si>
  <si>
    <t>https://www.biopharmadive.com/news/regeneron-ordspono-odranextamab-european-approval/725221/</t>
  </si>
  <si>
    <t>Projected Peak Sales ($M)</t>
  </si>
  <si>
    <r>
      <t xml:space="preserve">SVB Leerink (Andrew Berens), </t>
    </r>
    <r>
      <rPr>
        <b/>
        <sz val="12"/>
        <color theme="1"/>
        <rFont val="Aptos Narrow"/>
        <family val="2"/>
        <scheme val="minor"/>
      </rPr>
      <t>$7.7B</t>
    </r>
    <r>
      <rPr>
        <sz val="12"/>
        <color theme="1"/>
        <rFont val="Aptos Narrow"/>
        <family val="2"/>
        <scheme val="minor"/>
      </rPr>
      <t xml:space="preserve">, Jul 26 2022: https://www.fiercepharma.com/pharma/amid-merger-talks-merck-seagen-reveals-positive-data-padcev-keytruda-combo-bladder-cancer • Evercore ISI (Umer Raffat), </t>
    </r>
    <r>
      <rPr>
        <b/>
        <sz val="12"/>
        <color theme="1"/>
        <rFont val="Aptos Narrow"/>
        <family val="2"/>
        <scheme val="minor"/>
      </rPr>
      <t>$7B</t>
    </r>
    <r>
      <rPr>
        <sz val="12"/>
        <color theme="1"/>
        <rFont val="Aptos Narrow"/>
        <family val="2"/>
        <scheme val="minor"/>
      </rPr>
      <t>, Sep 22 2023: https://www.biopharmadive.com/news/seagen-padcev-phase-3-results-bladder-cancer-keytruda/694499/</t>
    </r>
  </si>
  <si>
    <t>Avg Projected Global Peak Sales</t>
  </si>
  <si>
    <r>
      <t xml:space="preserve">Jefferies, </t>
    </r>
    <r>
      <rPr>
        <b/>
        <sz val="12"/>
        <color theme="1"/>
        <rFont val="Aptos Narrow"/>
        <family val="2"/>
        <scheme val="minor"/>
      </rPr>
      <t>~$600M</t>
    </r>
    <r>
      <rPr>
        <sz val="12"/>
        <color theme="1"/>
        <rFont val="Aptos Narrow"/>
        <family val="2"/>
        <scheme val="minor"/>
      </rPr>
      <t xml:space="preserve">, Sep 21 2021: https://pharmaphorum.com/news/fda-clears-seagen-genmabs-tivdak-adc-for-cervical-cancer • SVB Leerink (Andrew Berens), </t>
    </r>
    <r>
      <rPr>
        <b/>
        <sz val="12"/>
        <color theme="1"/>
        <rFont val="Aptos Narrow"/>
        <family val="2"/>
        <scheme val="minor"/>
      </rPr>
      <t>~$1.3B</t>
    </r>
    <r>
      <rPr>
        <sz val="12"/>
        <color theme="1"/>
        <rFont val="Aptos Narrow"/>
        <family val="2"/>
        <scheme val="minor"/>
      </rPr>
      <t>, Jan 4 2022: https://www.fiercepharma.com/special-report/2021-s-new-drug-approvals</t>
    </r>
  </si>
  <si>
    <r>
      <t xml:space="preserve">SVB Leerink (Andrew Berens), </t>
    </r>
    <r>
      <rPr>
        <b/>
        <sz val="12"/>
        <color theme="1"/>
        <rFont val="Aptos Narrow"/>
        <family val="2"/>
        <scheme val="minor"/>
      </rPr>
      <t>$1.2B by 2030</t>
    </r>
    <r>
      <rPr>
        <sz val="12"/>
        <color theme="1"/>
        <rFont val="Aptos Narrow"/>
        <family val="2"/>
        <scheme val="minor"/>
      </rPr>
      <t>, Apr 17 2020: https://www.reuters.com/article/business/healthcare-pharmaceuticals/seattle-genetics-wins-early-us-approval-for-18500-breast-cancer-therapy-idUSKBN21Z303/</t>
    </r>
  </si>
  <si>
    <t>Avg Projected Peak Sales ($M)</t>
  </si>
  <si>
    <t>Scope_notes</t>
  </si>
  <si>
    <t>https://pathologyassociates.co.jp/wpdata/wp-content/uploads/2021/06/4506_20210630_Relugolix-contribution-over-estimated.-Reiterate-SELL-1.pdf | https://www.statnews.com/2019/07/23/myovants-uterine-fibroid-drug-meets-goals-in-trial-setting-up-competition-with-abbvie/</t>
  </si>
  <si>
    <t>Mixed scope: Pathology (global, molecule); Cowen (global, Myfembree-only)</t>
  </si>
  <si>
    <t>https://www.nasdaq.com/articles/urovant-sciences-is-a-hidden-gem-with-a-blockbuster-drug-likely-to-be-approved-this-year</t>
  </si>
  <si>
    <t>US-only sell-side projections (no public global forecast located)</t>
  </si>
  <si>
    <t>https://www.fiercepharma.com/pharma/stagnant-sales-dermavants-vtama-cast-doubt-its-blockbuster-potential</t>
  </si>
  <si>
    <t>Global projections from the same firm at two timepoints (earlier vs. revised)</t>
  </si>
  <si>
    <t>https://communities.springernature.com/posts/alnylam-launches-era-of-rnai-drugs</t>
  </si>
  <si>
    <t>https://www.reuters.com/business/healthcare-pharmaceuticals/alnylams-heart-disease-drug-meets-main-goal-late-stage-study-2024-06-24/ | https://www.fiercepharma.com/pharma/pfizer-tafamidis-hard-challenge-despite-potential-heart-disease-rivals-alnylam-bridgebio</t>
  </si>
  <si>
    <t>https://www.reuters.com/article/business/healthcare-pharmaceuticals/alnylams-rare-genetic-disorder-drug-priced-at-575000-per-year-idUSKBN1XU2C0/</t>
  </si>
  <si>
    <t>https://www.reuters.com/article/business/healthcare-pharmaceuticals/alnylam-gene-silencing-therapy-to-treat-kidney-disorder-succeeds-in-late-stage-s-idUSKBN1YL1B9/</t>
  </si>
  <si>
    <t>https://www.bioworld.com/articles/514583-wall-street-faithful-as-novartis-two-timing-leqvio-enters-ldl-c-fray</t>
  </si>
  <si>
    <t>https://www.biospace.com/fda/sanofi-alnylam-win-first-rnai-approval-for-hemophilia-a-and-b</t>
  </si>
  <si>
    <t>Avg Projected Peak Sales ($B)</t>
  </si>
  <si>
    <t>https://www.fiercepharma.com/marketing/abbvies-migraine-franchise-had-nasty-quarter-and-its-sending-chills-down-rival-biohavens?utm_source=chatgpt.com</t>
  </si>
  <si>
    <t>‚CHF 1.2B (Activase+TNKase combined, 2024)</t>
  </si>
  <si>
    <t>CHF 1.2B (Activase+TNKase combined, 2024)</t>
  </si>
  <si>
    <t>$4.0B (2023)</t>
  </si>
  <si>
    <t>Actual Peak Sales</t>
  </si>
  <si>
    <t>Greater of the Two</t>
  </si>
  <si>
    <t>Peak Annual Sales ($M)</t>
  </si>
  <si>
    <t>Greater of Two</t>
  </si>
  <si>
    <t>Peak Sales</t>
  </si>
  <si>
    <t xml:space="preserve">Avg Projected Peak Sales </t>
  </si>
  <si>
    <t>Modality Platforms</t>
  </si>
  <si>
    <t>Genentech</t>
  </si>
  <si>
    <t>Regeneron</t>
  </si>
  <si>
    <t>Moderna</t>
  </si>
  <si>
    <t>Seagen</t>
  </si>
  <si>
    <t>Alnylam</t>
  </si>
  <si>
    <t>Ionis</t>
  </si>
  <si>
    <t>Mellennium</t>
  </si>
  <si>
    <t>Roivant</t>
  </si>
  <si>
    <t>PureTech</t>
  </si>
  <si>
    <t>Biohaven</t>
  </si>
  <si>
    <t>BridgeBio</t>
  </si>
  <si>
    <t>Discovery Platform</t>
  </si>
  <si>
    <t>Hub-and-Spoke</t>
  </si>
  <si>
    <t>Firm</t>
  </si>
  <si>
    <t>Avg Actual Peak Sales</t>
  </si>
  <si>
    <t>Avg Projected Peak</t>
  </si>
  <si>
    <t>Median</t>
  </si>
  <si>
    <t>Average</t>
  </si>
  <si>
    <t>Approved</t>
  </si>
  <si>
    <t>EYLEA¬Æ (US), EYLEA HD¬Æ (8 mg), ziv-aflibercept/Zaltrap¬Æ (IV)</t>
  </si>
  <si>
    <t>wAMD, DME, DR, RVO; (ziv-aflibercept) mCRC</t>
  </si>
  <si>
    <t>IL-4RŒ± mAb (blocks IL-4/IL-13)</t>
  </si>
  <si>
    <t>IL-6R mAb</t>
  </si>
  <si>
    <t>PD-1 mAb</t>
  </si>
  <si>
    <t>Lynozyfic‚Ñ¢ (linvoseltamab-gcpt)</t>
  </si>
  <si>
    <t>NCT03761108 (LINKER-MM1)</t>
  </si>
  <si>
    <t>Ronapreve¬Æ (EU/JP); REGEN-COV¬Æ (US EUA)</t>
  </si>
  <si>
    <t>SARS-CoV-2 neutralizing mAbs</t>
  </si>
  <si>
    <t>COVID-19 (EU/JP)</t>
  </si>
  <si>
    <t>IL-1 trap</t>
  </si>
  <si>
    <t>REGN910; REGN910-3 (w/aflibercept)</t>
  </si>
  <si>
    <t>anti-ERBB3/HER3 mAb</t>
  </si>
  <si>
    <t>anti-PDGFR-Œ≤ mAb (REGN2176-3 with aflibercept)</t>
  </si>
  <si>
    <t>PDGFR-Œ≤ mAb</t>
  </si>
  <si>
    <t>REGN1908-1909</t>
  </si>
  <si>
    <t>anti-Fel d 1 mAb combo</t>
  </si>
  <si>
    <t>Anti-MERS-CoV mAbs</t>
  </si>
  <si>
    <t>NCT03188666 (LUMINA-1)</t>
  </si>
  <si>
    <t>anti-IL-2RŒ≤ mAb</t>
  </si>
  <si>
    <t>IL-2RŒ≤ mAb</t>
  </si>
  <si>
    <t>Brain-derived neurotrophic factor</t>
  </si>
  <si>
    <t>Engineered t-PA variant</t>
  </si>
  <si>
    <t>Recombinant methionyl-hGH (192 aa)</t>
  </si>
  <si>
    <t>Anti-CD11a (LFA-1) mAb</t>
  </si>
  <si>
    <t>Non-Hodgkin lymphoma; CLL; RA; GPA/MPA</t>
  </si>
  <si>
    <t>Anti-CD20 mAb</t>
  </si>
  <si>
    <t>Anti-HER2 mAb</t>
  </si>
  <si>
    <t>Multiple solid tumors (VEGF-driven)</t>
  </si>
  <si>
    <t>Anti-VEGF-A mAb</t>
  </si>
  <si>
    <t>Pharmaceutical-Technology analysis</t>
  </si>
  <si>
    <t>Anti-IgE mAb</t>
  </si>
  <si>
    <t>Anti-VEGF-A Fab</t>
  </si>
  <si>
    <t>BRAF V600-mut melanoma</t>
  </si>
  <si>
    <t>Anti-HER2 (HER2/HER3 dimerization inhibitor)</t>
  </si>
  <si>
    <t>Erivedge (GDC-0449)</t>
  </si>
  <si>
    <t>Ado-trastuzumab emtansine</t>
  </si>
  <si>
    <t>Kadcyla (T-DM1)</t>
  </si>
  <si>
    <t>Cotellic (GDC-0973)</t>
  </si>
  <si>
    <t>BRAF V600-mut melanoma (with vemurafenib)</t>
  </si>
  <si>
    <t>Multiple cancers (PD-L1+); urothelial; NSCLC; SCLC; others</t>
  </si>
  <si>
    <t>Anti-PD-L1 mAb (checkpoint inhibitor)</t>
  </si>
  <si>
    <t>Type II anti-CD20 mAb (glycoengineered)</t>
  </si>
  <si>
    <t>DLBCL (various settings incl. 1L w/ R-CHP)</t>
  </si>
  <si>
    <t>ADC (anti-CD79b + MMAE)</t>
  </si>
  <si>
    <t>Bispecific mAb (VEGF-A/Ang-2)</t>
  </si>
  <si>
    <t>Market-Scope Feb 2025; Reuters Jul 2024</t>
  </si>
  <si>
    <t>CD20√óCD3 T-cell engaging bispecific mAb</t>
  </si>
  <si>
    <t>Itovebi (GDC-0077)</t>
  </si>
  <si>
    <t>PI3KŒ±-selective inhibitor that degrades mutant p110Œ±</t>
  </si>
  <si>
    <t>anti-IL-13 mAb</t>
  </si>
  <si>
    <t>Anti-IL-13 mAb</t>
  </si>
  <si>
    <t>Anti-CD18 mAb (LFA-1 integrin Œ≤2)</t>
  </si>
  <si>
    <t>LIMIT-AMI etc.</t>
  </si>
  <si>
    <t>Pro-angiogenic growth factor</t>
  </si>
  <si>
    <t>Chemotherapy-induced thrombocytopenia</t>
  </si>
  <si>
    <t>INS-37217</t>
  </si>
  <si>
    <t>MET-positive NSCLC; other MET-driven tumors</t>
  </si>
  <si>
    <t>Monovalent anti-MET mAb (one-armed)</t>
  </si>
  <si>
    <t>anti-IFN-Œ±</t>
  </si>
  <si>
    <t>Anti-IFN-Œ± mAb</t>
  </si>
  <si>
    <t>anti-OX40L</t>
  </si>
  <si>
    <t>Anti-OX40 ligand mAb</t>
  </si>
  <si>
    <t>anti-Œ≤7 integrin</t>
  </si>
  <si>
    <t>Anti-Œ≤7 integrin mAb</t>
  </si>
  <si>
    <t>anti-factor D (complement)</t>
  </si>
  <si>
    <t>Anti-factor D mAb</t>
  </si>
  <si>
    <t>anti-DR5 mAb</t>
  </si>
  <si>
    <t>anti-Neuropilin-1</t>
  </si>
  <si>
    <t>Anti-NRP1 mAb</t>
  </si>
  <si>
    <t>SGN-40 (anti-CD40)</t>
  </si>
  <si>
    <t>Anti-CD40 mAb</t>
  </si>
  <si>
    <t>GDC-0853 / RG7845</t>
  </si>
  <si>
    <t>GDC-0068</t>
  </si>
  <si>
    <t>GDC-0941</t>
  </si>
  <si>
    <t>GDC-0980 (RG7422)</t>
  </si>
  <si>
    <t>GDC-0919</t>
  </si>
  <si>
    <t>GDC-0084</t>
  </si>
  <si>
    <t>Dual PI3K/mTOR inhibitor (brain-penetrant)</t>
  </si>
  <si>
    <t>First-in-human Phase I in high-grade glioma</t>
  </si>
  <si>
    <t>GDC-6036</t>
  </si>
  <si>
    <t>KRAS G12C-mut cancers (NSCLC, CRC, etc.)</t>
  </si>
  <si>
    <t>GDC-9545 (RG6171)</t>
  </si>
  <si>
    <t>GDC-0134</t>
  </si>
  <si>
    <t>Dual leucine zipper kinase inhibitor (CNS-penetrant)</t>
  </si>
  <si>
    <t>Anti-AŒ≤ mAb</t>
  </si>
  <si>
    <t>Anti-tau mAb</t>
  </si>
  <si>
    <t>ABT-263</t>
  </si>
  <si>
    <t>Small-molecule BCL-2/BCL-xL inhibitor</t>
  </si>
  <si>
    <t>ABT-869</t>
  </si>
  <si>
    <t>Small-molecule multi-kinase (VEGFR/PDGFR) inhibitor</t>
  </si>
  <si>
    <t>Anti-Tissue Factor mAb</t>
  </si>
  <si>
    <t>Acute coronary syndromes (anti-thrombotic)</t>
  </si>
  <si>
    <t>Anti-oxLDL mAb</t>
  </si>
  <si>
    <t>GDC-0152</t>
  </si>
  <si>
    <t>Small-molecule antagonist of IAPs (XIAP, cIAP1/2, ML-IAP)</t>
  </si>
  <si>
    <t>Endothelin receptor A/B antagonist (short-acting)</t>
  </si>
  <si>
    <t>elebsiran (VIR-2218)</t>
  </si>
  <si>
    <t>‚Äî (alpha-1 antitrypsin)</t>
  </si>
  <si>
    <t>siRNA targeting SERPINA1 (mutant Z-AAT)</t>
  </si>
  <si>
    <t>‚Äî (alpha-1 antitrypsin, next-gen)</t>
  </si>
  <si>
    <t>CNS-delivered siRNA targeting APP (C16 delivery)</t>
  </si>
  <si>
    <t>CNS-delivered siRNA targeting HTT (mutant and wild-type)</t>
  </si>
  <si>
    <t>First-in-human dosing initiated 2025; partial clinical hold noted in 2025</t>
  </si>
  <si>
    <t>Next-gen siRNA targeting TTR (IKARIA platform; ultra-durable)</t>
  </si>
  <si>
    <t>Once-yearly profile; Phase 1 positive initial data Dec 2023</t>
  </si>
  <si>
    <t>B-CLL (initial approval); later MS as Lemtrada</t>
  </si>
  <si>
    <t>Peripheral T-cell lymphoma; solid &amp; heme tumors</t>
  </si>
  <si>
    <t>Aurora A kinase inhibitor (first-generation)</t>
  </si>
  <si>
    <t>Pevonedistat (MLN4924; TAK-924)</t>
  </si>
  <si>
    <t>Nedd8-activating enzyme (NAE) inhibitor</t>
  </si>
  <si>
    <t>Serabelisib (MLN1117; TAK-117)</t>
  </si>
  <si>
    <t>PI3K-alpha selective inhibitor</t>
  </si>
  <si>
    <t>PIK3CA-mutant solid tumors</t>
  </si>
  <si>
    <t>Sapanisertib (MLN0128; TAK-228)</t>
  </si>
  <si>
    <t>MLN2480 (TAK-580)</t>
  </si>
  <si>
    <t>Pan-RAF kinase inhibitor</t>
  </si>
  <si>
    <t>Solid tumors; pediatric low-grade glioma</t>
  </si>
  <si>
    <t>Indusatumab vedotin (MLN0264; TAK-264)</t>
  </si>
  <si>
    <t>Anti-GCC antibody-drug conjugate (vedotin)</t>
  </si>
  <si>
    <t>MLN2704 (PSMA-DM1 ADC)</t>
  </si>
  <si>
    <t>Anti-PSMA antibody-drug conjugate (DM1)</t>
  </si>
  <si>
    <t>Metastatic castration-resistant prostate cancer</t>
  </si>
  <si>
    <t>Anti-PSMA monoclonal antibody (¬± radiolabeled)</t>
  </si>
  <si>
    <t>DNA bis-intercalator (topo-independent)</t>
  </si>
  <si>
    <t>Tandutinib (MLN0518/MLN518; CT-53518)</t>
  </si>
  <si>
    <t>MLN519 (PS-519/LDP-519)</t>
  </si>
  <si>
    <t>Small-molecule proteasome inhibitor</t>
  </si>
  <si>
    <t>Ischemia-reperfusion injury biology; early human studies</t>
  </si>
  <si>
    <t>LDP-977 (CMI-977; MLN977)</t>
  </si>
  <si>
    <t>5-lipoxygenase inhibitor</t>
  </si>
  <si>
    <t>MLN7243 (TAK-243)</t>
  </si>
  <si>
    <t>UBA1 (ubiquitin-activating enzyme) inhibitor</t>
  </si>
  <si>
    <t>Current commercial sponsor (if out-licensed)</t>
  </si>
  <si>
    <t>FGFR2 fusion/rearrangement intrahepatic cholangiocarcinoma; other FGFR2-altered solid tumors</t>
  </si>
  <si>
    <t>First-in-class pan-mutant, isoform-selective PI3KŒ± inhibitor (allosteric)</t>
  </si>
  <si>
    <t>PIK3CA-mutant HR+/HER2‚àí metastatic breast cancer; PIK3CA-related overgrowth spectrum (PROS) &amp; vascular malformations</t>
  </si>
  <si>
    <t>Advanced solid tumors; combinations in KRAS-G12C and EGFR-mutant settings (e.g., with divarasib, osimertinib, or cetuximab)</t>
  </si>
  <si>
    <t>Pan-mutant, isoform-selective PI3KŒ± inhibitor (chemically distinct from RLY-2608)</t>
  </si>
  <si>
    <t>Advanced PIK3CA-mutant solid tumors; HR+/HER2‚àí advanced breast cancer</t>
  </si>
  <si>
    <t>Allosteric, selective pan-mutant PI3KŒ± inhibitor</t>
  </si>
  <si>
    <t>PIK3CA-mutant solid tumors (incl. HR+/HER2‚àí breast cancer)</t>
  </si>
  <si>
    <t>NCI-2023-02774 (Phase 1); Dana-Farber protocol 23-050</t>
  </si>
  <si>
    <t>Allosteric, selective pan-mutant PI3KŒ± inhibitor (chemically distinct from RLY-2608)</t>
  </si>
  <si>
    <t>NCT04252339 (RLY-1971, Phase 1 mono); NCT05487235 (GDC-1971 + atezolizumab); NCT05954871 (GDC-1971 + osimertinib or cetuximab)</t>
  </si>
  <si>
    <t>Substrate supplementation to drive FKRP-mediated glycosylation of Œ±-dystroglycan</t>
  </si>
  <si>
    <t>Advanced solid tumors; combinations in KRAS-mutant NSCLC</t>
  </si>
  <si>
    <t>KRAS G12C-mutant non-small cell lung cancer (¬± pembrolizumab)</t>
  </si>
  <si>
    <t>Pan-KRAS ON/OFF direct inhibitor</t>
  </si>
  <si>
    <t>KRAS-mutant solid tumors (mono and combinations)</t>
  </si>
  <si>
    <t>posoleucel (ALVR105; formerly Viralym-M)</t>
  </si>
  <si>
    <t>Allogeneic, off-the-shelf multivirus-specific T-cell therapy targeting AdV, BKV, CMV, EBV, HHV-6 and JCV (adoptive transfer of partially HLA-matched virus-specific T cells).</t>
  </si>
  <si>
    <t>Prevention of multi-virus infection/disease after allo-HCT; treatment of virus-associated hemorrhagic cystitis after allo-HCT; treatment of adenovirus infection after allo-HCT; treatment of BK viremia in kidney transplant recipients.</t>
  </si>
  <si>
    <t>High-risk COVID-19 (hospitalized patients).</t>
  </si>
  <si>
    <t>HA-1 TCR T cells</t>
  </si>
  <si>
    <t>Engineered T-cell receptor (TCR) therapy using donor CD4+ and CD8+ T cells expressing an HA-1-specific TCR (targets minor histocompatibility antigen HA-1 on hematopoietic/leukemia cells).</t>
  </si>
  <si>
    <t>Werner syndrome helicase (WRN) inhibitor (non-covalent)</t>
  </si>
  <si>
    <t>MSI-H/dMMR advanced solid tumors</t>
  </si>
  <si>
    <t>Inhaled small-molecule TKI inhibiting PDGFRŒ±/Œ≤, CSF1R, and c-KIT</t>
  </si>
  <si>
    <t>GB004 (AKB-4924)</t>
  </si>
  <si>
    <t>Oral, gut-targeted hypoxia-inducible factor-1Œ± (HIF-1Œ±) stabilizer</t>
  </si>
  <si>
    <t>First-in-class CD11b (integrin Œ±M) modulator reprogramming myeloid cells</t>
  </si>
  <si>
    <t>Oral, CNS-penetrant, irreversible covalent BTK inhibitor</t>
  </si>
  <si>
    <t>Roche product sales reported (2024/25) - see Reuters/DelveInsight reports</t>
  </si>
  <si>
    <t>Cystic fibrosis - reduces sputum viscosity</t>
  </si>
  <si>
    <t>$0.7-0.8B (peak potential, 2015 analyst est.)</t>
  </si>
  <si>
    <t>$2.0-2.4B</t>
  </si>
  <si>
    <t>$1.9-2.0B</t>
  </si>
  <si>
    <t>MarketWatch (Jefferies est.) 2024-2025</t>
  </si>
  <si>
    <t>PIK3CA-mut HR+/HER2- metastatic breast cancer (with palbociclib+fulvestrant)</t>
  </si>
  <si>
    <t>AAT deficiency-associated liver disease</t>
  </si>
  <si>
    <t>Sources - trials</t>
  </si>
  <si>
    <t>Sources - target/mechanism</t>
  </si>
  <si>
    <t>Sources - indication</t>
  </si>
  <si>
    <t>Sources - status/approval</t>
  </si>
  <si>
    <t>Anti-GM-CSF monoclonal antibody</t>
  </si>
  <si>
    <t>US$1.3B-$4.0B (global)</t>
  </si>
  <si>
    <t>US$10M-$100M (global)</t>
  </si>
  <si>
    <t>Infigratinib (BGJ398; TRUSELTIQ - withdrawn 2024)</t>
  </si>
  <si>
    <t>US$80M-$561M (historical analyst ranges at/after launch)</t>
  </si>
  <si>
    <t>NCT04783181 (ADventure, Phase 1/2) - development discontinued 2024</t>
  </si>
  <si>
    <t>Gorlin syndrome (Basal Cell Nevus Syndrome) - prevention of new BCCs</t>
  </si>
  <si>
    <t>PI3KŒ±:RAS ‚Äòbreaker‚Äô (disrupts RAS-PI3KŒ± interaction ‚Üí inhibits PI3K/AKT)</t>
  </si>
  <si>
    <t>NCT04836494 (Phase 1 HV + PA/MMA) - PKAN portion later discontinued</t>
  </si>
  <si>
    <t>Allogeneic, off-the-shelf multirespiratory-virus-specific T-cell therapy targeting RSV, influenza, parainfluenza, and human metapneumovirus (adoptive transfer of virus-specific T cells).</t>
  </si>
  <si>
    <t>Allogeneic, off-the-shelf SARS-CoV-2-specific virus-specific T-cell (VST) therapy (adoptive transfer of partially HLA-matched VSTs).</t>
  </si>
  <si>
    <t>Avg Projected Peak Sales</t>
  </si>
  <si>
    <t>https://www.investors.com/news/technology/moderna-stock-downgrade-covid-vaccine-rsv-vaccine-outlook/?utm_source=chatgpt.com https://www.morningstar.com/stocks/moderna-earnings-competition-weighs-covid-rsv-vaccine-prospects?utm_source=chatgpt.com</t>
  </si>
  <si>
    <t>https://www.sec.gov/Archives/edgar/data/318771/0000318771-95-000005.txt?utm_source=chatgpt.com</t>
  </si>
  <si>
    <t>https://www.sec.gov/Archives/edgar/data/318771/0000318771-95-000005.txt?utm_source=chatgpt.com https://www.gene.com/download/pdf/2000_annual-report.pdf</t>
  </si>
  <si>
    <t>https://www.gene.com/download/pdf/2000_annual-report.pdf</t>
  </si>
  <si>
    <t>https://www.sec.gov/Archives/edgar/data/318771/000031877109000003/form10-k_2008.htm</t>
  </si>
  <si>
    <t>Sources for Peak_Global_Sales</t>
  </si>
  <si>
    <t>Ongoing</t>
  </si>
  <si>
    <t>Completed</t>
  </si>
  <si>
    <t>Completed Programs</t>
  </si>
  <si>
    <t>Vertex</t>
  </si>
  <si>
    <t>FDA Approval Date</t>
  </si>
  <si>
    <t>Indication</t>
  </si>
  <si>
    <t>HIV protease inhibitor</t>
  </si>
  <si>
    <t>HIV infection</t>
  </si>
  <si>
    <t>HCV NS3/4A protease inhibitor</t>
  </si>
  <si>
    <t>HCV genotype 1</t>
  </si>
  <si>
    <t>$1.162B (2012)</t>
  </si>
  <si>
    <t>CFTR potentiator</t>
  </si>
  <si>
    <t>Cystic fibrosis (gating mutations)</t>
  </si>
  <si>
    <t>$1.01B (2018)</t>
  </si>
  <si>
    <t>CFTR corrector</t>
  </si>
  <si>
    <t>Cystic fibrosis (with ivacaftor, Orkambi)</t>
  </si>
  <si>
    <t>$1.32B (2017)</t>
  </si>
  <si>
    <t>Cystic fibrosis (with ivacaftor, Symdeko)</t>
  </si>
  <si>
    <t>$1.418B (2019)</t>
  </si>
  <si>
    <t>Cystic fibrosis (with tezacaftor/ivacaftor, Trikafta)</t>
  </si>
  <si>
    <t>$10.239B (2024)</t>
  </si>
  <si>
    <t>Cystic fibrosis (ALYFTREK combo)</t>
  </si>
  <si>
    <t>Not established</t>
  </si>
  <si>
    <t>NaV1.8 inhibitor</t>
  </si>
  <si>
    <t>Acute pain (Journavx)</t>
  </si>
  <si>
    <t>Influenza A PB2 inhibitor</t>
  </si>
  <si>
    <t>Influenza A</t>
  </si>
  <si>
    <t>JAK3 inhibitor</t>
  </si>
  <si>
    <t>Rheumatoid arthritis</t>
  </si>
  <si>
    <t>p38 MAPK inhibitor</t>
  </si>
  <si>
    <t>RA, ACS biomarker</t>
  </si>
  <si>
    <t>p38Œ± MAPK inhibitor</t>
  </si>
  <si>
    <t>RA, later Alzheimer‚Äôs</t>
  </si>
  <si>
    <t>Aurora kinase inhibitor</t>
  </si>
  <si>
    <t>Cancer</t>
  </si>
  <si>
    <t>Rho inhibitor (C3 transferase)</t>
  </si>
  <si>
    <t>Spinal cord injury</t>
  </si>
  <si>
    <t>IMPDH inhibitor</t>
  </si>
  <si>
    <t>HCV</t>
  </si>
  <si>
    <t>Inflammatory disease</t>
  </si>
  <si>
    <t>Epilepsy/inflammation</t>
  </si>
  <si>
    <t>HCV NS5B inhibitor</t>
  </si>
  <si>
    <t>HCV nucleotide inhibitor</t>
  </si>
  <si>
    <t>HCV nucleotide analog</t>
  </si>
  <si>
    <t>ATR kinase inhibitor</t>
  </si>
  <si>
    <t>CF (triple combo)</t>
  </si>
  <si>
    <t>ENaC inhibitor (inhaled)</t>
  </si>
  <si>
    <t>CF</t>
  </si>
  <si>
    <t>Pain</t>
  </si>
  <si>
    <t>APOL1 inhibitor</t>
  </si>
  <si>
    <t>APOL1 kidney disease</t>
  </si>
  <si>
    <t>Acute pain</t>
  </si>
  <si>
    <t>Amprenavir [VX-478]</t>
  </si>
  <si>
    <t>Telaprevir [VX-950]</t>
  </si>
  <si>
    <t>Ivacaftor [VX-770]</t>
  </si>
  <si>
    <t>Lumacaftor [VX-809]</t>
  </si>
  <si>
    <t>Tezacaftor [VX-661]</t>
  </si>
  <si>
    <t>Elexacaftor [VX-445]</t>
  </si>
  <si>
    <t>Vanzacaftor [VX-121]</t>
  </si>
  <si>
    <t>Suzetrigine [VX-548]</t>
  </si>
  <si>
    <t>Pimodivir [VX-787]</t>
  </si>
  <si>
    <t>Decernotinib [VX-509]</t>
  </si>
  <si>
    <t>VX-702</t>
  </si>
  <si>
    <t>Neflamapimod [VX-745]</t>
  </si>
  <si>
    <t>Tozasertib [VX-680/MK-0457]</t>
  </si>
  <si>
    <t>VX-210 (Cethrin/BA-210)</t>
  </si>
  <si>
    <t>Merimepodib [VX-497]</t>
  </si>
  <si>
    <t>Pralnacasan [VX-740]</t>
  </si>
  <si>
    <t>Caspase-1 inhibitor</t>
  </si>
  <si>
    <t>VX-765</t>
  </si>
  <si>
    <t>VX-222 (VCH-222)</t>
  </si>
  <si>
    <t>VCH-759</t>
  </si>
  <si>
    <t>ALS-2200 [VX-135]</t>
  </si>
  <si>
    <t>ALS-2158</t>
  </si>
  <si>
    <t>Berzosertib [VX-970, M6620]</t>
  </si>
  <si>
    <t>Gartisertib [VX-803, M4344]</t>
  </si>
  <si>
    <t>VX-984 [M9831]</t>
  </si>
  <si>
    <t>DNA-PK inhibitor</t>
  </si>
  <si>
    <t>VX-659</t>
  </si>
  <si>
    <t>VX-440</t>
  </si>
  <si>
    <t>VX-152</t>
  </si>
  <si>
    <t>VX-371 (P-1037)</t>
  </si>
  <si>
    <t>VX-150</t>
  </si>
  <si>
    <t>VX-128</t>
  </si>
  <si>
    <t>Inaxaplin [VX-147]</t>
  </si>
  <si>
    <t>VX-993</t>
  </si>
  <si>
    <t>https://pubmed.ncbi.nlm.nih.gov/16155850/</t>
  </si>
  <si>
    <t>Lexiva</t>
  </si>
  <si>
    <t>https://ptacts.uspto.gov/ptacts/public-informations/petitions/1544902/download-documents?artifactId=kRJlE79ONiVsaAFRB6Bu9fnpYxFVDwyQgOnMjiPKFspAzSFxN6nurx4&amp;utm_source=chatgpt.com</t>
  </si>
  <si>
    <t>(Greater of Actual &amp; Projected for Newer Assets)</t>
  </si>
  <si>
    <t>Avg Assets' Peak Sales</t>
  </si>
  <si>
    <t>Hit Rate*</t>
  </si>
  <si>
    <t>Candidate</t>
  </si>
  <si>
    <t>Company / Sponsor</t>
  </si>
  <si>
    <t>Program Type</t>
  </si>
  <si>
    <t>Initial Approval Date (if any)</t>
  </si>
  <si>
    <t>ClinicalTrials.gov ID / Trial #</t>
  </si>
  <si>
    <t>Peak Sales (USD, Year)</t>
  </si>
  <si>
    <t>Outcome / Notes</t>
  </si>
  <si>
    <t>Key Sources (URLs)</t>
  </si>
  <si>
    <t>IDEC-CE9.1 (SB-210396)</t>
  </si>
  <si>
    <t>IDEC Pharmaceuticals (now Biogen)</t>
  </si>
  <si>
    <t>Anti-CD4 monoclonal antibody (first-generation PRIMATIZED mAb)</t>
  </si>
  <si>
    <t>Phase I/II in RA; Phase III enrollment suspended in 1997 due to CD4 lymphopenia; development discontinued.</t>
  </si>
  <si>
    <t>https://www.sec.gov/Archives/edgar/data/875045/0000936392-98-000343.txt</t>
  </si>
  <si>
    <t>In2B8 (Indium-111 ibritumomab tiuxetan; imaging)</t>
  </si>
  <si>
    <t>N (component of ZEVALIN regimen imaging; not a stand-alone approval)</t>
  </si>
  <si>
    <t>Completed Phase I by early 1995; used as imaging step in ZEVALIN regimen; not separately approved.</t>
  </si>
  <si>
    <t>1986-01-29 (U.S.)</t>
  </si>
  <si>
    <t>Hairy cell leukemia; later hepatitis B &amp; C, others</t>
  </si>
  <si>
    <t>‚â•$524,000,000 (1996, U.S. brand sales)</t>
  </si>
  <si>
    <t>https://www.sec.gov/Archives/edgar/data/875045/000095013504001180/b48790bie10vk.htm; https://www.accessdata.fda.gov/drugsatfda_docs/bla/1997/ifnasch110697r.pdf; https://investor.enzon.com/static-files/3264bcd8-83c4-47d2-9efe-3907e6c308f2; https://media.corporate-ir.net/media_files/irol/89/89839/reports/sgp_ar04a.pdf</t>
  </si>
  <si>
    <t>Hepatitis B vaccine IP ‚Üí RECOMBIVAX HB (Merck)</t>
  </si>
  <si>
    <t>Merck (licensee); Biogen held recombinant HBV antigen patents</t>
  </si>
  <si>
    <t>1986-07-23 (U.S.)</t>
  </si>
  <si>
    <t>Recombinant HBsAg (yeast) vaccine</t>
  </si>
  <si>
    <t>Prevention of hepatitis B</t>
  </si>
  <si>
    <t>Biogen received royalties on sales of recombinant hepatitis B vaccines from Merck; U.S. approval 1986.</t>
  </si>
  <si>
    <t>https://www.sec.gov/Archives/edgar/data/875045/000095013504001180/b48790bie10vk.htm; https://purplebooksearch.fda.gov/productdetails?query=101066; https://www.fda.gov/files/vaccines%2C%20blood%20%26%20biologics/published/package-insert-recombivax-hb.pdf</t>
  </si>
  <si>
    <t>GlaxoSmithKline (licensee); Biogen held recombinant HBV antigen patents</t>
  </si>
  <si>
    <t>1989-08-28 (U.S.)</t>
  </si>
  <si>
    <t>Biogen received royalties on sales of recombinant hepatitis B vaccines from GSK; U.S. approval 1989.</t>
  </si>
  <si>
    <t>https://www.sec.gov/Archives/edgar/data/875045/000095013504001180/b48790bie10vk.htm; https://purplebooksearch.fda.gov/productdetails?query=103239; https://www.fda.gov/media/119403/download</t>
  </si>
  <si>
    <t>IDEC-C2B8 (rituximab, Rituxan/MabThera)</t>
  </si>
  <si>
    <t>Chimeric anti-CD20 monoclonal antibody</t>
  </si>
  <si>
    <t>Relapsed low-grade or follicular B-cell non-Hodgkin's lymphoma</t>
  </si>
  <si>
    <t>Pivotal Phase III completed; BLA submitted Feb 1997</t>
  </si>
  <si>
    <t>1997-11-26 (U.S.)</t>
  </si>
  <si>
    <t>U.S./Canada co-promote with Genentech; Roche ex-U.S.; Zenyaku in Japan</t>
  </si>
  <si>
    <t>https://www.sec.gov/Archives/edgar/data/875045/0000936392-97-000428.txt</t>
  </si>
  <si>
    <t>IDEC-Y2B8 (ibritumomab tiuxetan, ZEVALIN¬Æ)</t>
  </si>
  <si>
    <t>Anti-CD20 monoclonal antibody radiolabeled with Yttrium-90</t>
  </si>
  <si>
    <t>B-cell non-Hodgkin's lymphoma (radioimmunotherapy)</t>
  </si>
  <si>
    <t>Phase I completed (early 1995); Phase I/II initiated Aug 1996</t>
  </si>
  <si>
    <t>2002-02 (U.S.)</t>
  </si>
  <si>
    <t>Companion therapeutic to In2B8 imaging agent</t>
  </si>
  <si>
    <t>https://www.sec.gov/Archives/edgar/data/875045/0000936392-97-000428.txt; https://investors.biogen.com/static-files/fa7af3dc-e397-436c-b988-597685e08289</t>
  </si>
  <si>
    <t>IDEC-In2B8 (indium-111 ibritumomab tiuxetan; imaging/dosimetry)</t>
  </si>
  <si>
    <t>Anti-CD20 monoclonal antibody radiolabeled with Indium-111 (tumor imaging/dosimetry)</t>
  </si>
  <si>
    <t>B-cell non-Hodgkin's lymphoma (imaging/dose planning prior to Y2B8)</t>
  </si>
  <si>
    <t>Clinical testing ongoing; used to image and determine dose for Y2B8</t>
  </si>
  <si>
    <t>Part of ZEVALIN regimen; not a standalone marketed product</t>
  </si>
  <si>
    <t>PRIMATIZED anti-CD4 monoclonal antibody (IgG1)</t>
  </si>
  <si>
    <t>Rheumatoid arthritis; exploratory in asthma</t>
  </si>
  <si>
    <t>Phase II completed; Phase III initiated (Dec 1996)</t>
  </si>
  <si>
    <t>Developed with SmithKline Beecham; later clinical hold in 1997 10-K</t>
  </si>
  <si>
    <t>9-AC (9-aminocamptothecin)</t>
  </si>
  <si>
    <t>Topoisomerase I inhibitor (camptothecin analogue; small molecule)</t>
  </si>
  <si>
    <t>Various solid tumors (NSCLC, colorectal, pancreatic, gastric, bladder, prostate, head &amp; neck, kidney)</t>
  </si>
  <si>
    <t>Phase I/II initiated Oct 1997</t>
  </si>
  <si>
    <t>Rights acquired from Pharmacia following Pharmacia-Upjohn merger conditions; early trials at UAB</t>
  </si>
  <si>
    <t>Bivalirudin (Hirulog¬Æ)</t>
  </si>
  <si>
    <t>Direct thrombin inhibitor (20-aa hirudin analog peptide)</t>
  </si>
  <si>
    <t>Anticoagulation during coronary angioplasty (PTCA), unstable/postinfarction angina</t>
  </si>
  <si>
    <t>In human clinical trials in early-to-mid 1990s (Phase II/III by 1995)</t>
  </si>
  <si>
    <t>Y (by The Medicines Company as Angiomax)</t>
  </si>
  <si>
    <t>2000-12 (U.S.)</t>
  </si>
  <si>
    <t>https://www.nejm.org/doi/full/10.1056/NEJM199509213331204; https://www.ahajournals.org/doi/10.1161/01.CIR.89.4.1567</t>
  </si>
  <si>
    <t>AVONEX (interferon beta-1a)</t>
  </si>
  <si>
    <t>IFN Œ≤-1a</t>
  </si>
  <si>
    <t>Type I interferon agonist</t>
  </si>
  <si>
    <t>Relapsing multiple sclerosis</t>
  </si>
  <si>
    <t>NCT00004564 (example)</t>
  </si>
  <si>
    <t>1996-05-17 (US)</t>
  </si>
  <si>
    <t>https://www.fda.gov/media/75519/download</t>
  </si>
  <si>
    <t>TYSABRI (natalizumab)</t>
  </si>
  <si>
    <t>Antegren</t>
  </si>
  <si>
    <t>Natalizumab</t>
  </si>
  <si>
    <t>Œ±4 integrin (VLA-4) antagonist monoclonal antibody</t>
  </si>
  <si>
    <t>Relapsing MS; Crohn‚Äôs disease; RA (early)</t>
  </si>
  <si>
    <t>NCT00027300; NCT00032730</t>
  </si>
  <si>
    <t>2004-11-23 (US; MS); 2008-01-14 (US; Crohn‚Äôs)</t>
  </si>
  <si>
    <t>https://investors.biogen.com/news-releases/news-release-details/biogen-idec-reports-third-quarter-2008-results</t>
  </si>
  <si>
    <t>AMEVIVE (alefacept)</t>
  </si>
  <si>
    <t>LFA-3/IgG1 fusion protein</t>
  </si>
  <si>
    <t>LFA-3 mimetic; inhibits T-cell activation via CD2/LFA-3 pathway</t>
  </si>
  <si>
    <t>Psoriasis; RA (investigated)</t>
  </si>
  <si>
    <t>Y (withdrawn from market)</t>
  </si>
  <si>
    <t>2003-01-31 (US; psoriasis)</t>
  </si>
  <si>
    <t>https://www.accessdata.fda.gov/drugsatfda_docs/label/2003/125036s0000_amevive_lbl.pdf</t>
  </si>
  <si>
    <t>TECFIDERA (dimethyl fumarate)</t>
  </si>
  <si>
    <t>BG-12</t>
  </si>
  <si>
    <t>Dimethyl fumarate</t>
  </si>
  <si>
    <t>Nrf2 pathway activator; immunomodulator</t>
  </si>
  <si>
    <t>Relapsing MS; psoriasis (Germany, as Fumaderm)</t>
  </si>
  <si>
    <t>DEFINE/CONFIRM (Phase 3)</t>
  </si>
  <si>
    <t>2013-03-27 (US)</t>
  </si>
  <si>
    <t>https://investors.biogen.com/news-releases/news-release-details/biogen-idec-announces-positive-top-line-results-first-phase-3</t>
  </si>
  <si>
    <t>PLEGRIDY (peginterferon beta-1a)</t>
  </si>
  <si>
    <t>BIIB017</t>
  </si>
  <si>
    <t>Peginterferon beta-1a</t>
  </si>
  <si>
    <t>PEGylated Type I interferon agonist</t>
  </si>
  <si>
    <t>Relapsing MS</t>
  </si>
  <si>
    <t>ADVANCE</t>
  </si>
  <si>
    <t>2014-07-17 (EU); 2014-08-15 (US)</t>
  </si>
  <si>
    <t>ZINBRYTA (daclizumab)</t>
  </si>
  <si>
    <t>BIIB019 (DAC HYP)</t>
  </si>
  <si>
    <t>Daclizumab HYP</t>
  </si>
  <si>
    <t>Anti-IL-2RŒ± monoclonal antibody</t>
  </si>
  <si>
    <t>DECIDE</t>
  </si>
  <si>
    <t>Y (withdrawn 2018)</t>
  </si>
  <si>
    <t>2016-05-27 (EU); 2016-05-27 (US)</t>
  </si>
  <si>
    <t>SPINRAZA (nusinersen)</t>
  </si>
  <si>
    <t>Nusinersen</t>
  </si>
  <si>
    <t>Antisense oligonucleotide modulating SMN2 splicing</t>
  </si>
  <si>
    <t>Spinal muscular atrophy (SMA)</t>
  </si>
  <si>
    <t>ENDEAR, CHERISH, NURTURE</t>
  </si>
  <si>
    <t>2016-12-23 (US)</t>
  </si>
  <si>
    <t>ELOCTATE (efmoroctocog alfa)</t>
  </si>
  <si>
    <t>rFVIIIFc</t>
  </si>
  <si>
    <t>Recombinant Factor VIII Fc-fusion (half-life extension)</t>
  </si>
  <si>
    <t>Hemophilia A prophylaxis &amp; treatment</t>
  </si>
  <si>
    <t>A-LONG, Kids A-LONG</t>
  </si>
  <si>
    <t>2014-06-06 (US)</t>
  </si>
  <si>
    <t>ALPROLIX (eftrenonacog alfa)</t>
  </si>
  <si>
    <t>rFIXFc</t>
  </si>
  <si>
    <t>Recombinant Factor IX Fc-fusion (half-life extension)</t>
  </si>
  <si>
    <t>Hemophilia B prophylaxis &amp; treatment</t>
  </si>
  <si>
    <t>B-LONG, Kids B-LONG</t>
  </si>
  <si>
    <t>2014-03-28 (US)</t>
  </si>
  <si>
    <t>ADUHELM (aducanumab)</t>
  </si>
  <si>
    <t>BIIB037</t>
  </si>
  <si>
    <t>Aducanumab</t>
  </si>
  <si>
    <t>Anti-amyloid-Œ≤ monoclonal antibody</t>
  </si>
  <si>
    <t>EMERGE/ENGAGE</t>
  </si>
  <si>
    <t>Y (withdrawn)</t>
  </si>
  <si>
    <t>2021-06-07 (US, accelerated)</t>
  </si>
  <si>
    <t>LEQEMBI (lecanemab)</t>
  </si>
  <si>
    <t>Lecanemab-irmb</t>
  </si>
  <si>
    <t>Anti-amyloid-Œ≤ protofibril monoclonal antibody</t>
  </si>
  <si>
    <t>Clarity AD; 201 Study</t>
  </si>
  <si>
    <t>2023-07-06 (US traditional)</t>
  </si>
  <si>
    <t>QALSODY (tofersen)</t>
  </si>
  <si>
    <t>BIIB067</t>
  </si>
  <si>
    <t>Tofersen</t>
  </si>
  <si>
    <t>Antisense oligonucleotide targeting SOD1</t>
  </si>
  <si>
    <t>ALS (SOD1)</t>
  </si>
  <si>
    <t>VALOR</t>
  </si>
  <si>
    <t>2023-04-25 (US accelerated)</t>
  </si>
  <si>
    <t>ANTOVA (ruplizumab)</t>
  </si>
  <si>
    <t>BG9588 (hu5c8)</t>
  </si>
  <si>
    <t>Anti-CD40L mAb</t>
  </si>
  <si>
    <t>CD40 ligand (CD154) monoclonal antibody</t>
  </si>
  <si>
    <t>SLE, ITP, MS, factor VIII inhibitor syndrome, transplant rejection</t>
  </si>
  <si>
    <t>Phase 2</t>
  </si>
  <si>
    <t>https://www.bioworld.com/articles/480479;https://www.wsj.com/articles/SB940549455766364929;https://synapse.patsnap.com/drug/3f7638fdf23c4922abcecd4b0b94295d</t>
  </si>
  <si>
    <t>IDEC-131 (toralizumab)</t>
  </si>
  <si>
    <t>IDEC-131</t>
  </si>
  <si>
    <t>Anti-CD40L mAb (distinct from ruplizumab)</t>
  </si>
  <si>
    <t>RA, SLE, ITP, psoriasis, transplant rejection</t>
  </si>
  <si>
    <t>https://pmc.ncbi.nlm.nih.gov/articles/PMC10287837/</t>
  </si>
  <si>
    <t>IDEC-151 (clenoliximab)</t>
  </si>
  <si>
    <t>IDEC-151 / SB-217969</t>
  </si>
  <si>
    <t>Anti-CD4 mAb</t>
  </si>
  <si>
    <t>CD4 monoclonal antibody (PRIMATIZED)</t>
  </si>
  <si>
    <t>Rheumatoid arthritis (¬±methotrexate)</t>
  </si>
  <si>
    <t>Clin Pharmacol Ther. 1999;66:246-57</t>
  </si>
  <si>
    <t>https://pubmed.ncbi.nlm.nih.gov/10511060/;https://www.sec.gov/Archives/edgar/data/875045/000104746903011017/a2106647z10-k.htm</t>
  </si>
  <si>
    <t>IDEC-114 (galiximab)</t>
  </si>
  <si>
    <t>IDEC-114</t>
  </si>
  <si>
    <t>Anti-CD80 mAb (PRIMATIZED)</t>
  </si>
  <si>
    <t>CD80 monoclonal antibody</t>
  </si>
  <si>
    <t>Follicular NHL; autoimmune (explored)</t>
  </si>
  <si>
    <t>https://www.sec.gov/Archives/edgar/data/875045/000104746903011017/a2106647z10-k.htm</t>
  </si>
  <si>
    <t>IDEC-152 (lumiliximab)</t>
  </si>
  <si>
    <t>IDEC-152</t>
  </si>
  <si>
    <t>Lumiliximab (anti-CD23)</t>
  </si>
  <si>
    <t>CD23 monoclonal antibody (PRIMATIZED)</t>
  </si>
  <si>
    <t>CLL; allergic asthma (early)</t>
  </si>
  <si>
    <t>Phase 2/3 (CLL combo trial)</t>
  </si>
  <si>
    <t>https://pubmed.ncbi.nlm.nih.gov/15663332/;https://www.biospace.com/biogen-idec-inc-massachusetts-initiates-randomized-registrational-trial-of-lumiliximab-for-chronic-lymphocytic-leukemia</t>
  </si>
  <si>
    <t>VOLOCIXIMAB (M200)</t>
  </si>
  <si>
    <t>M200</t>
  </si>
  <si>
    <t>Volociximab</t>
  </si>
  <si>
    <t>Anti-Œ±5Œ≤1 integrin monoclonal antibody (anti-angiogenic)</t>
  </si>
  <si>
    <t>Solid tumors (RCC, pancreatic, melanoma, NSCLC); ophthalmic (out-licensed)</t>
  </si>
  <si>
    <t>EudraCT 2007-000509-31 (ovarian)</t>
  </si>
  <si>
    <t>https://www.biospace.com/pdl-biopharma-inc-release-clinical-data-on-volociximab-m200-presented-at-the-american-society-of-clinical-oncology-annual-meeting;https://investors.biogen.com/news-releases/news-release-details/biogen-idec-and-pdl-biopharma-license-rights-develop-volociximab</t>
  </si>
  <si>
    <t>OCR</t>
  </si>
  <si>
    <t>Humanized anti-CD20 mAb</t>
  </si>
  <si>
    <t>CD20 monoclonal antibody</t>
  </si>
  <si>
    <t>RA, SLE, MS (phase 2 by 2010)</t>
  </si>
  <si>
    <t>ACTION (RA; combined Ph1/2)</t>
  </si>
  <si>
    <t>Y (as OCREVUS in 2017; Genentech/Roche)</t>
  </si>
  <si>
    <t>2017-03-28 (US; MS)</t>
  </si>
  <si>
    <t>Daclizumab (for MS)</t>
  </si>
  <si>
    <t>Zenapax; later DAC HYP (BIIB019)</t>
  </si>
  <si>
    <t>Y (as Zinbryta in 2016; withdrawn 2018)</t>
  </si>
  <si>
    <t>2005 Annual Report pipeline (immunology/neurology pages)</t>
  </si>
  <si>
    <t>2005 Annual Report pipeline</t>
  </si>
  <si>
    <t>Vipadenant</t>
  </si>
  <si>
    <t>V2006 / BIIB014</t>
  </si>
  <si>
    <t>A2A receptor antagonist</t>
  </si>
  <si>
    <t>Adenosine A2A receptor small molecule antagonist</t>
  </si>
  <si>
    <t>N (discontinued 2010)</t>
  </si>
  <si>
    <t>https://www.reuters.com/article/business/healthcare-pharmaceuticals/toxicology-sinks-vernalis-biogen-parkinsons-drug-idUSLDE66F08D/</t>
  </si>
  <si>
    <t>NEUBLASTIN (artemin)</t>
  </si>
  <si>
    <t>BG00010</t>
  </si>
  <si>
    <t>Conatumumab? (No) ‚Äî Neublastin/Artemin</t>
  </si>
  <si>
    <t>GDNF family ligand (Artemin) delivery (neurotrophic factor)</t>
  </si>
  <si>
    <t>Neuropathic pain</t>
  </si>
  <si>
    <t>ADENTRI (adenosine A1 receptor antagonist)</t>
  </si>
  <si>
    <t>BG9719; BG9928 (IV and oral)</t>
  </si>
  <si>
    <t>A1 receptor antagonist</t>
  </si>
  <si>
    <t>Adenosine A1 receptor antagonism</t>
  </si>
  <si>
    <t>Acute decompensated heart failure with renal insufficiency; chronic HF</t>
  </si>
  <si>
    <t>Phase 3 (IV BG9928, 2008)</t>
  </si>
  <si>
    <t>https://www.ahajournals.org/doi/10.1161/hc1102.105264;https://investors.biogen.com/news-releases/news-release-details/biogen-idec-initiates-phase-iii-clinical-trial-adentrir-acute</t>
  </si>
  <si>
    <t>Baminercept</t>
  </si>
  <si>
    <t>BG9924 (LTŒ≤R-Ig)</t>
  </si>
  <si>
    <t>LTŒ≤R-Ig fusion protein</t>
  </si>
  <si>
    <t>Lymphotoxin-Œ≤ receptor decoy (blocks LTŒ±1Œ≤2 / LIGHT pathways)</t>
  </si>
  <si>
    <t>Rheumatoid arthritis; primary Sj√∂gren‚Äôs syndrome</t>
  </si>
  <si>
    <t>NCT00664716</t>
  </si>
  <si>
    <t>https://investors.biogen.com/news-releases/news-release-details/biogen-idec-announces-top-line-results-phase-ii-clinical-trial;https://pubmed.ncbi.nlm.nih.gov/29604186/</t>
  </si>
  <si>
    <t>BG00011 (STX-100)</t>
  </si>
  <si>
    <t>BG00011</t>
  </si>
  <si>
    <t>Anti-Œ±vŒ≤6 monoclonal antibody</t>
  </si>
  <si>
    <t>Œ±vŒ≤6 integrin; inhibits TGF-Œ≤ activation</t>
  </si>
  <si>
    <t>Idiopathic pulmonary fibrosis (IPF)</t>
  </si>
  <si>
    <t>Phase 2b</t>
  </si>
  <si>
    <t>NCT01371305; NCT03573505</t>
  </si>
  <si>
    <t>https://clinicaltrials.gov/study/NCT01371305;https://clinicaltrials.gov/study/NCT03573505;https://www.fiercebiotech.com/biotech/biogen-axes-phase-2-study-lung-scarring-med-due-to-safety-concerns</t>
  </si>
  <si>
    <t>BIIB015 (anti-CRIPTO ADC)</t>
  </si>
  <si>
    <t>BIIB015</t>
  </si>
  <si>
    <t>Targets Cripto-1; antibody-drug conjugate (maytansinoid DM4)</t>
  </si>
  <si>
    <t>Phase 1 (completed)</t>
  </si>
  <si>
    <t>NCT00674947</t>
  </si>
  <si>
    <t>https://adisinsight.springer.com/drugs/800018771</t>
  </si>
  <si>
    <t>BR3-Fc / Briobacept</t>
  </si>
  <si>
    <t>BAFF-R (BR3) ligand trap / anti-BR3 mAb program</t>
  </si>
  <si>
    <t>RA, CLL, Sj√∂gren‚Äôs (program discontinued)</t>
  </si>
  <si>
    <t>Phase 1/2? (program reported discontinued)</t>
  </si>
  <si>
    <t>https://adisinsight.springer.com/drugs/800019030</t>
  </si>
  <si>
    <t>Fontolizumab (HuZAF)</t>
  </si>
  <si>
    <t>Interferon-Œ≥ neutralizing monoclonal antibody</t>
  </si>
  <si>
    <t>Crohn‚Äôs disease; Rheumatoid arthritis</t>
  </si>
  <si>
    <t>NCT00281294</t>
  </si>
  <si>
    <t>https://clinicaltrials.gov/study/NCT00281294;https://pmc.ncbi.nlm.nih.gov/articles/PMC1856289/</t>
  </si>
  <si>
    <t>Drug Candidate</t>
  </si>
  <si>
    <t>Projection Sources (URLs)</t>
  </si>
  <si>
    <t>Relapsing forms of MS</t>
  </si>
  <si>
    <t>Diroximel fumarate (Vumerity)</t>
  </si>
  <si>
    <t>2019-10 (US); 2021 (EU)</t>
  </si>
  <si>
    <t>Oral fumarate (prodrug of MMF)</t>
  </si>
  <si>
    <t>Early Alzheimer‚Äôs disease</t>
  </si>
  <si>
    <t>Ibritumomab tiuxetan (Zevalin) [IDEC]</t>
  </si>
  <si>
    <t>2002 (US)</t>
  </si>
  <si>
    <t>RENEW; SYNERGY; AFFINITY</t>
  </si>
  <si>
    <t>MS; acute optic neuritis</t>
  </si>
  <si>
    <t>Cinpanemab (BIIB054)</t>
  </si>
  <si>
    <t>Gosuranemab (BIIB092)</t>
  </si>
  <si>
    <t>Alzheimer‚Äôs; PSP</t>
  </si>
  <si>
    <t>NCT03056729 (SAD/MAD)</t>
  </si>
  <si>
    <t>NCT03186989 (Phase 1b); NCT05399888 (Phase 2)</t>
  </si>
  <si>
    <t>Antisense oligo to reduce tau (MAPT) expression</t>
  </si>
  <si>
    <t>Vixotrigine (BIIB074)</t>
  </si>
  <si>
    <t>Nav1.7 sodium channel blocker</t>
  </si>
  <si>
    <t>Trigeminal neuralgia; small fiber neuropathy (investigational)</t>
  </si>
  <si>
    <t>BIIB093 (IV glibenclamide; Cirara)</t>
  </si>
  <si>
    <t>CHARM: NCT02864953 (Phase 3)</t>
  </si>
  <si>
    <t>Large hemispheric infarction (severe cerebral edema)</t>
  </si>
  <si>
    <t>BG00010 (neublastin / artemin / enovin)</t>
  </si>
  <si>
    <t>NCT01873404; NCT00961766</t>
  </si>
  <si>
    <t>Painful lumbosacral radiculopathy (sciatica)</t>
  </si>
  <si>
    <t>NCT03573505 (halted)</t>
  </si>
  <si>
    <t>Vipadenant (BIIB014; V2006)</t>
  </si>
  <si>
    <t>N (discontinued)</t>
  </si>
  <si>
    <t>NCT00442780; NCT00438607 (Phase 2)</t>
  </si>
  <si>
    <t>A2A adenosine receptor antagonist</t>
  </si>
  <si>
    <t>N (clinical hold; discontinued)</t>
  </si>
  <si>
    <t>Autoimmune diseases (SLE, ITP, psoriasis, Crohn‚Äôs)</t>
  </si>
  <si>
    <t>Dapirolizumab pegol (BIIB121) [with UCB]</t>
  </si>
  <si>
    <t>Systemic lupus erythematosus (SLE)</t>
  </si>
  <si>
    <t>BIIB091 (BTK inhibitor)</t>
  </si>
  <si>
    <t>FUSION: NCT05798520 (Phase 2)</t>
  </si>
  <si>
    <t>Bruton‚Äôs tyrosine kinase inhibitor</t>
  </si>
  <si>
    <t>Relapsing MS (¬± Vumerity combination)</t>
  </si>
  <si>
    <t>BIIB061 (remyelination small molecule)</t>
  </si>
  <si>
    <t>NCT04079088 (withdrawn prior to enrollment)</t>
  </si>
  <si>
    <t>Remyelination enhancer (small molecule)</t>
  </si>
  <si>
    <t>Relapsing MS (adjunctive)</t>
  </si>
  <si>
    <t>Drug_Candidate</t>
  </si>
  <si>
    <t>Development_Code</t>
  </si>
  <si>
    <t>Clinical_Trial_Number</t>
  </si>
  <si>
    <t>Target_Mechanism</t>
  </si>
  <si>
    <t>Peak_Sales_USD</t>
  </si>
  <si>
    <t>Est_Projected_Peak_Sales_Avg_Last10Y_USD</t>
  </si>
  <si>
    <t>Source_10K_Years</t>
  </si>
  <si>
    <t>Source_URLs</t>
  </si>
  <si>
    <t>INFERGEN (interferon alfacon-1)</t>
  </si>
  <si>
    <t>FDA PLA 96-0486</t>
  </si>
  <si>
    <t>Consensus interferon alfa (type I IFN agonist)</t>
  </si>
  <si>
    <t>Chronic hepatitis C (adult)</t>
  </si>
  <si>
    <t>FDA approval letter; Federal Register patent extension; Amgen 1997 10-K notes launch</t>
  </si>
  <si>
    <t>1997 (filed 1998)</t>
  </si>
  <si>
    <t>https://www.accessdata.fda.gov/drugsatfda_docs/appletter/1997/ifnamg100697L.htm; https://www.federalregister.gov/documents/2001/05/14/01-12025/determination-of-regulatory-review-period-for-purposes-of-patent-extension-infergen; https://www.sec.gov/Archives/edgar/data/318154/0000318154-98-000003.txt</t>
  </si>
  <si>
    <t>Stemgen (ancestim, recombinant stem cell factor)</t>
  </si>
  <si>
    <t>Ancestim (r-metHuSCF)</t>
  </si>
  <si>
    <t>FDA BLA 97-0509 (AdCom)</t>
  </si>
  <si>
    <t>Stem cell factor (c-Kit ligand) growth factor</t>
  </si>
  <si>
    <t>Mobilization of peripheral blood progenitor cells with filgrastim</t>
  </si>
  <si>
    <t>Amgen 1994 10-K (SCF in human trials); Pink Sheet (BLA review); DrugBank (Canada approval); FDA Orphan DB</t>
  </si>
  <si>
    <t>1994 (filed 1995)</t>
  </si>
  <si>
    <t>https://www.sec.gov/Archives/edgar/data/318154/0000318154-95-000008.txt; https://insights.citeline.com/PS032394/Amgen-Stemgen/; https://go.drugbank.com/drugs/DB09103; https://www.accessdata.fda.gov/scripts/opdlisting/oopd/detailedIndex.cfm?cfgridkey=86594</t>
  </si>
  <si>
    <t>Megakaryocyte Growth and Development Factor (MGDF)</t>
  </si>
  <si>
    <t>Thrombopoietic growth factor (TPO analog)</t>
  </si>
  <si>
    <t>Chemotherapy-induced thrombocytopenia; platelet donor mobilization</t>
  </si>
  <si>
    <t>Amgen 1995 10-K (human clinical testing underway); LA Times discontinuation; Amgen 1998 Form 10-K update</t>
  </si>
  <si>
    <t>1995; 1998</t>
  </si>
  <si>
    <t>https://www.sec.gov/Archives/edgar/data/318154/0000318154-96-000002.txt; https://www.latimes.com/archives/la-xpm-1998-sep-12-fi-21852-story.html; https://investors.amgen.com/static-files/59c29afb-e14d-4daa-8e93-d62c42e1f952</t>
  </si>
  <si>
    <t>Brain-Derived Neurotrophic Factor (BDNF)</t>
  </si>
  <si>
    <t>Neurotrophic factor (TrkB agonism)</t>
  </si>
  <si>
    <t>ALS (amyotrophic lateral sclerosis)</t>
  </si>
  <si>
    <t>Amgen 1995 10-K (Phase 1/2 completed, Phase 3 initiated); Amgen 1997/1998 10-K (ALS trials)</t>
  </si>
  <si>
    <t>1995; 1997 (filed 1998)</t>
  </si>
  <si>
    <t>https://www.sec.gov/Archives/edgar/data/318154/0000318154-96-000002.txt; https://www.sec.gov/Archives/edgar/data/318154/0000318154-98-000003.txt</t>
  </si>
  <si>
    <t>Neurotrophin-3 (NT-3)</t>
  </si>
  <si>
    <t>Neurotrophic factor (TrkC agonism)</t>
  </si>
  <si>
    <t>Peripheral neuropathies (diabetic, chemotherapy-induced)</t>
  </si>
  <si>
    <t>Amgen 1995 10-K (human clinical testing ongoing); Amgen 1997/1998 10-K (program curtailed)</t>
  </si>
  <si>
    <t>Anakinra</t>
  </si>
  <si>
    <t>IL-1ra; Kineret</t>
  </si>
  <si>
    <t>BLA 103950</t>
  </si>
  <si>
    <t>Interleukin-1 receptor antagonist</t>
  </si>
  <si>
    <t>Rheumatoid arthritis (initial); later autoinflammatory disorders</t>
  </si>
  <si>
    <t>FDA approval package; Amgen 1995 &amp; 1997/1998 10-K (clinical development)</t>
  </si>
  <si>
    <t>https://www.accessdata.fda.gov/drugsatfda_docs/nda/2001/103950-0_Kineret.cfm; https://www.sec.gov/Archives/edgar/data/318154/0000318154-96-000002.txt; https://www.sec.gov/Archives/edgar/data/318154/0000318154-98-000003.txt</t>
  </si>
  <si>
    <t>TNF binding protein (first-generation sTNF-RI)</t>
  </si>
  <si>
    <t>TNFbp; sTNF-R1</t>
  </si>
  <si>
    <t>Soluble TNF receptor (p55)</t>
  </si>
  <si>
    <t>Rheumatoid arthritis; IBD; pancreatitis (exploratory)</t>
  </si>
  <si>
    <t>Amgen 1995 &amp; 1997/1998 10-K (human trial completed; immunogenicity issues)</t>
  </si>
  <si>
    <t>Recombinant human leptin (rLeptin)</t>
  </si>
  <si>
    <t>Leptin replacement / agonism</t>
  </si>
  <si>
    <t>Obesity; type 2 diabetes (exploratory)</t>
  </si>
  <si>
    <t>Amgen 1997/1998 10-K (human trials started 1996; second-gen 1998); JAMA 1999 trial</t>
  </si>
  <si>
    <t>https://www.sec.gov/Archives/edgar/data/318154/0000318154-98-000003.txt; https://jamanetwork.com/journals/jama/fullarticle/192037</t>
  </si>
  <si>
    <t>R-568 (first-generation calcimimetic)</t>
  </si>
  <si>
    <t>R-568</t>
  </si>
  <si>
    <t>Completed clinical trial (1997)</t>
  </si>
  <si>
    <t>Calcimimetic (CaSR agonist)</t>
  </si>
  <si>
    <t>Secondary hyperparathyroidism (CKD)</t>
  </si>
  <si>
    <t>Amgen 1997/1998 10-K (completed clinical trial in secondary HPT)</t>
  </si>
  <si>
    <t>https://www.sec.gov/Archives/edgar/data/318154/0000318154-98-000003.txt</t>
  </si>
  <si>
    <t>AMG 073</t>
  </si>
  <si>
    <t>Secondary hyperparathyroidism in CKD on dialysis; hypercalcemia in parathyroid carcinoma</t>
  </si>
  <si>
    <t>Amgen 1997/1998 10-K (second-gen calcimimetic into clinic 1997); FDA approval package</t>
  </si>
  <si>
    <t>https://www.sec.gov/Archives/edgar/data/318154/0000318154-98-000003.txt; https://www.accessdata.fda.gov/drugsatfda_docs/nda/2004/21-688_Sensipar.cfm</t>
  </si>
  <si>
    <t>rHuKGF; KGF-1</t>
  </si>
  <si>
    <t>AmgenTrials 20020402; 20040118</t>
  </si>
  <si>
    <t>Keratinocyte growth factor (FGF7 agonist)</t>
  </si>
  <si>
    <t>Prevention of severe oral mucositis (HSCT for hematologic malignancy)</t>
  </si>
  <si>
    <t>Amgen 1995 &amp; 1997/1998 10-K (human trials), 2003 10-K (Phase 3 positive); FDA approval package</t>
  </si>
  <si>
    <t>1995; 1997 (filed 1998); 2003</t>
  </si>
  <si>
    <t>https://www.sec.gov/Archives/edgar/data/318154/0000318154-96-000002.txt; https://www.sec.gov/Archives/edgar/data/318154/0000318154-98-000003.txt; https://www.sec.gov/Archives/edgar/data/318154/000089843003001854/d10k.htm; https://www.accessdata.fda.gov/drugsatfda_docs/nda/2004/125103s000_KepivanceTOC.cfm; https://www.amgentrials.com/study/?id=20020402; https://www.amgentrials.com/study/?id=20040118</t>
  </si>
  <si>
    <t>Anti-EGFR monoclonal antibody</t>
  </si>
  <si>
    <t>2002 (filed 2003)</t>
  </si>
  <si>
    <t>https://www.sec.gov/Archives/edgar/data/318154/000089843003001854/d10k.htm</t>
  </si>
  <si>
    <t>Epratuzumab</t>
  </si>
  <si>
    <t>Anti-CD22 monoclonal antibody</t>
  </si>
  <si>
    <t>Non-Hodgkin lymphoma</t>
  </si>
  <si>
    <t>Amgen 2002 10-K (Phase 3 initiated in 2001)</t>
  </si>
  <si>
    <t>AIMOVIG (erenumab-aooe)</t>
  </si>
  <si>
    <t>AMG 334</t>
  </si>
  <si>
    <t>2018-05</t>
  </si>
  <si>
    <t>CGRP receptor monoclonal antibody</t>
  </si>
  <si>
    <t>Migraine prevention</t>
  </si>
  <si>
    <t>https://www.biopharmadive.com/news/aimovig-launch-bolsters-hopes-for-blockbuster-sales/530466/; https://phil.us/migraine-post-approval-insights/</t>
  </si>
  <si>
    <t>AMG 157</t>
  </si>
  <si>
    <t>2021-12</t>
  </si>
  <si>
    <t>TSLP monoclonal antibody</t>
  </si>
  <si>
    <t>Severe asthma</t>
  </si>
  <si>
    <t>ABP 501</t>
  </si>
  <si>
    <t>2016-09</t>
  </si>
  <si>
    <t>Autoimmune</t>
  </si>
  <si>
    <t>https://investors.amgen.com/news-releases/news-release-details/amgen-reports-fourth-quarter-and-full-year-2023-financial-results</t>
  </si>
  <si>
    <t>AMJEVITA/AMGEVITA (adalimumab-atto)</t>
  </si>
  <si>
    <t>Biosimilar to adalimumab (TNF mAb)</t>
  </si>
  <si>
    <t>Autoimmune diseases</t>
  </si>
  <si>
    <t>ARANESP (darbepoetin alfa)</t>
  </si>
  <si>
    <t>2001-09</t>
  </si>
  <si>
    <t>Long-acting erythropoiesis-stimulating agent</t>
  </si>
  <si>
    <t>Anemia (CKD; CIA)</t>
  </si>
  <si>
    <t>https://www.latimes.com/archives/la-xpm-2010-oct-18-la-fi-1019-amgen-20101018-story.html</t>
  </si>
  <si>
    <t>AVSOLA (infliximab-axxq biosimilar)</t>
  </si>
  <si>
    <t>ABP 710</t>
  </si>
  <si>
    <t>2019-12</t>
  </si>
  <si>
    <t>NCT02937701</t>
  </si>
  <si>
    <t>Infliximab biosimilar</t>
  </si>
  <si>
    <t>https://www.amgen.com/newsroom/press-releases/2023/01/amgen-reports-fourth-quarter-and-full-year-2022-financial-results</t>
  </si>
  <si>
    <t>BLINCYTO (blinatumomab)</t>
  </si>
  <si>
    <t>2014-12</t>
  </si>
  <si>
    <t>CD19xCD3 BiTE¬Æ T cell engager</t>
  </si>
  <si>
    <t>B-precursor ALL</t>
  </si>
  <si>
    <t>Corlanor (ivabradine)</t>
  </si>
  <si>
    <t>2015-04</t>
  </si>
  <si>
    <t>If current (funny channel) inhibitor</t>
  </si>
  <si>
    <t>HFrEF with elevated HR</t>
  </si>
  <si>
    <t>https://archive.annual-report.thomsonreuters.com/2015/assets/media/pages/downloads/drugs-to-watch-2015.pdf</t>
  </si>
  <si>
    <t>ENBREL (etanercept)</t>
  </si>
  <si>
    <t>1998-11</t>
  </si>
  <si>
    <t>TNF receptor-Fc fusion (TNF inhibitor)</t>
  </si>
  <si>
    <t>RA, PsO, PsA, etc.</t>
  </si>
  <si>
    <t>https://www.fiercepharma.com/pharma/from-old-behemoth-lipitor-to-new-king-humira-u-s-best-selling-drugs-over-25-years</t>
  </si>
  <si>
    <t>EPOGEN (epoetin alfa)</t>
  </si>
  <si>
    <t>1989-06</t>
  </si>
  <si>
    <t>Erythropoiesis-stimulating agent (recombinant EPO)</t>
  </si>
  <si>
    <t>Anemia of ESRD</t>
  </si>
  <si>
    <t>EVENITY (romosozumab-aqqg)</t>
  </si>
  <si>
    <t>AMG 785</t>
  </si>
  <si>
    <t>2019-04</t>
  </si>
  <si>
    <t>Sclerostin monoclonal antibody</t>
  </si>
  <si>
    <t>Osteoporosis</t>
  </si>
  <si>
    <t>IMLYGIC (talimogene laherparepvec)</t>
  </si>
  <si>
    <t>2015-10</t>
  </si>
  <si>
    <t>Oncolytic HSV-1 expressing GM-CSF</t>
  </si>
  <si>
    <t>Unresectable melanoma</t>
  </si>
  <si>
    <t>https://www.evaluate.com/thought-leadership/vantage-2021-review-report/</t>
  </si>
  <si>
    <t>KANJINTI (trastuzumab-anns biosimilar)</t>
  </si>
  <si>
    <t>ABP 980</t>
  </si>
  <si>
    <t>2019-06</t>
  </si>
  <si>
    <t>NCT01901146</t>
  </si>
  <si>
    <t>Trastuzumab biosimilar</t>
  </si>
  <si>
    <t>HER2+ cancers</t>
  </si>
  <si>
    <t>MVASI (bevacizumab-awwb biosimilar)</t>
  </si>
  <si>
    <t>ABP 215</t>
  </si>
  <si>
    <t>2017-09</t>
  </si>
  <si>
    <t>NCT01964086</t>
  </si>
  <si>
    <t>Bevacizumab biosimilar</t>
  </si>
  <si>
    <t>Various oncology indications</t>
  </si>
  <si>
    <t>NEULASTA (pegfilgrastim)</t>
  </si>
  <si>
    <t>2002-01</t>
  </si>
  <si>
    <t>Pegylated G-CSF</t>
  </si>
  <si>
    <t>Neutropenia</t>
  </si>
  <si>
    <t>Nplate (romiplostim)</t>
  </si>
  <si>
    <t>AMG 531</t>
  </si>
  <si>
    <t>2008-08</t>
  </si>
  <si>
    <t>Thrombopoietin receptor agonist (peptibody)</t>
  </si>
  <si>
    <t>ITP</t>
  </si>
  <si>
    <t>PARsabiv (etelcalcetide)</t>
  </si>
  <si>
    <t>2017-02</t>
  </si>
  <si>
    <t>Calcimimetic (CaSR agonist, peptide)</t>
  </si>
  <si>
    <t>Secondary hyperparathyroidism (dialysis)</t>
  </si>
  <si>
    <t>https://www.bioworld.com/articles/336160-class-of-2015-is-a-snapshot-of-the-perils-in-predicting-blockbusters</t>
  </si>
  <si>
    <t>Prolia (denosumab)</t>
  </si>
  <si>
    <t>AMG 162</t>
  </si>
  <si>
    <t>2010-06</t>
  </si>
  <si>
    <t>RANKL inhibitor (mAb)</t>
  </si>
  <si>
    <t>Postmenopausal osteoporosis</t>
  </si>
  <si>
    <t>https://bullfincher.io/companies/amgen/revenue-by-segment</t>
  </si>
  <si>
    <t>REPATHA (evolocumab)</t>
  </si>
  <si>
    <t>AMG 145</t>
  </si>
  <si>
    <t>2015-08</t>
  </si>
  <si>
    <t>PCSK9 monoclonal antibody</t>
  </si>
  <si>
    <t>https://nonews.co/wp-content/uploads/2018/09/WP2018.pdf</t>
  </si>
  <si>
    <t>RIABNI (rituximab-arrx biosimilar)</t>
  </si>
  <si>
    <t>ABP 798</t>
  </si>
  <si>
    <t>2020-12</t>
  </si>
  <si>
    <t>NCT02745080</t>
  </si>
  <si>
    <t>Rituximab biosimilar</t>
  </si>
  <si>
    <t>B cell malignancies, RA</t>
  </si>
  <si>
    <t>Sensipar (cinacalcet)</t>
  </si>
  <si>
    <t>TEZSPIRE (tezepelumab-ekko)</t>
  </si>
  <si>
    <t>https://www.fiercepharma.com/pharma/amgen-astrazeneca-trial-demonstrates-tezspires-effectiveness-copd; https://data.tradingcomps.com/ref/EvaluatePharma-World-Preview-2021.pdf</t>
  </si>
  <si>
    <t>Vectibix (panitumumab)</t>
  </si>
  <si>
    <t>AMG 076</t>
  </si>
  <si>
    <t>NCT00223592</t>
  </si>
  <si>
    <t>Small-molecule (undisclosed; obesity)</t>
  </si>
  <si>
    <t>Obesity</t>
  </si>
  <si>
    <t>AMG 108</t>
  </si>
  <si>
    <t>NCT00404543</t>
  </si>
  <si>
    <t>IL-1 receptor type 1 monoclonal antibody</t>
  </si>
  <si>
    <t>Osteoarthritis; RA</t>
  </si>
  <si>
    <t>AMG 110 (solitomab, EpCAMxCD3 BiTE)</t>
  </si>
  <si>
    <t>AMG 110</t>
  </si>
  <si>
    <t>NCT00635596</t>
  </si>
  <si>
    <t>EpCAMxCD3 BiTE</t>
  </si>
  <si>
    <t>Solid tumors (EpCAM+)</t>
  </si>
  <si>
    <t>AMG 114 (Hyperglycosylated ESA)</t>
  </si>
  <si>
    <t>AMG 114</t>
  </si>
  <si>
    <t>NCT00613485</t>
  </si>
  <si>
    <t>Hyperglycosylated EPO analog (ESA)</t>
  </si>
  <si>
    <t>Chemotherapy-induced anemia</t>
  </si>
  <si>
    <t>AMG 131</t>
  </si>
  <si>
    <t>NCT00115338</t>
  </si>
  <si>
    <t>Selective PPAR-Œ≥ modulator (oral)</t>
  </si>
  <si>
    <t>Type 2 diabetes</t>
  </si>
  <si>
    <t>AMG 151</t>
  </si>
  <si>
    <t>Undisclosed (metabolic; likely T2D agent)</t>
  </si>
  <si>
    <t>AMG 167</t>
  </si>
  <si>
    <t>AMG 191</t>
  </si>
  <si>
    <t>Undisclosed</t>
  </si>
  <si>
    <t>AMG 208</t>
  </si>
  <si>
    <t>NCT01358903; NCT00813382</t>
  </si>
  <si>
    <t>MET tyrosine kinase inhibitor (small molecule)</t>
  </si>
  <si>
    <t>AMG 211 (MT111, CEA(CD3) BiTE)</t>
  </si>
  <si>
    <t>AMG 211</t>
  </si>
  <si>
    <t>NCT02760199; NCT02324257</t>
  </si>
  <si>
    <t>CEA(CD3) BiTE</t>
  </si>
  <si>
    <t>AMG 212 (pasotuxizumab, PSMAxCD3 BiTE)</t>
  </si>
  <si>
    <t>AMG 212</t>
  </si>
  <si>
    <t>NCT01723475</t>
  </si>
  <si>
    <t>PSMAxCD3 BiTE</t>
  </si>
  <si>
    <t>mCRPC</t>
  </si>
  <si>
    <t>AMG 220</t>
  </si>
  <si>
    <t>NCT00771667</t>
  </si>
  <si>
    <t>IL‚Äë6 pathway inhibitor protein (from Avidia; C‚Äë326)</t>
  </si>
  <si>
    <t>Crohn‚Äôs disease</t>
  </si>
  <si>
    <t>AMG 221</t>
  </si>
  <si>
    <t>11Œ≤‚ÄëHSD1 inhibitor (small molecule)</t>
  </si>
  <si>
    <t>AMG 317</t>
  </si>
  <si>
    <t>NCT00501766</t>
  </si>
  <si>
    <t>Anti-IL-4 receptor mAb</t>
  </si>
  <si>
    <t>AMG 330 (CD33xCD3 BiTE)</t>
  </si>
  <si>
    <t>AMG 330</t>
  </si>
  <si>
    <t>NCT02520427</t>
  </si>
  <si>
    <t>CD33xCD3 BiTE</t>
  </si>
  <si>
    <t>AML</t>
  </si>
  <si>
    <t>AMG 337</t>
  </si>
  <si>
    <t>NCT01253707; NCT02016534</t>
  </si>
  <si>
    <t>MET tyrosine kinase inhibitor</t>
  </si>
  <si>
    <t>Solid tumors (gastric, HCC, etc.)</t>
  </si>
  <si>
    <t>AMG 379</t>
  </si>
  <si>
    <t>Bradykinin B1 receptor antagonist (small molecule)</t>
  </si>
  <si>
    <t>AMG 403 (fulranumab)</t>
  </si>
  <si>
    <t>AMG 403</t>
  </si>
  <si>
    <t>NCT00883943; NCT00973141</t>
  </si>
  <si>
    <t>NGF monoclonal antibody</t>
  </si>
  <si>
    <t>Pain (OA, neuropathic)</t>
  </si>
  <si>
    <t>AMG 420 (BCMAxCD3 BiTE)</t>
  </si>
  <si>
    <t>AMG 420</t>
  </si>
  <si>
    <t>NCT02514239</t>
  </si>
  <si>
    <t>BCMAxCD3 BiTE</t>
  </si>
  <si>
    <t>AMG 424 (CD38xCD3 TCE)</t>
  </si>
  <si>
    <t>AMG 424</t>
  </si>
  <si>
    <t>NCT03445663</t>
  </si>
  <si>
    <t>CD38xCD3 T cell engager</t>
  </si>
  <si>
    <t>AMG 517</t>
  </si>
  <si>
    <t>NCT00387140</t>
  </si>
  <si>
    <t>TRPV1 small-molecule antagonist</t>
  </si>
  <si>
    <t>AMG 557 (MEDI5872)</t>
  </si>
  <si>
    <t>AMG 557</t>
  </si>
  <si>
    <t>NCT00774943; NCT02349061</t>
  </si>
  <si>
    <t>ICOS ligand (ICOSL) monoclonal antibody</t>
  </si>
  <si>
    <t>AMG 623 (A‚Äë623 blisibimod)</t>
  </si>
  <si>
    <t>AMG 623</t>
  </si>
  <si>
    <t>NCT01162681</t>
  </si>
  <si>
    <t>BAFF antagonist peptibody</t>
  </si>
  <si>
    <t>SLE</t>
  </si>
  <si>
    <t>AMG 673 (HLE CD33xCD3 BiTE)</t>
  </si>
  <si>
    <t>AMG 673</t>
  </si>
  <si>
    <t>NCT03224819</t>
  </si>
  <si>
    <t>HLE CD33xCD3 BiTE</t>
  </si>
  <si>
    <t>AMG 701 (HLE BCMAxCD3 BiTE)</t>
  </si>
  <si>
    <t>AMG 701</t>
  </si>
  <si>
    <t>NCT03468383</t>
  </si>
  <si>
    <t>HLE BCMAxCD3 BiTE</t>
  </si>
  <si>
    <t>AMG 714 (ordesekimab/PRV-015)</t>
  </si>
  <si>
    <t>AMG 714</t>
  </si>
  <si>
    <t>NCT00433875; NCT03179312</t>
  </si>
  <si>
    <t>Anti‚ÄìIL‚Äë15 monoclonal antibody</t>
  </si>
  <si>
    <t>Rheumatoid arthritis; psoriasis; celiac disease</t>
  </si>
  <si>
    <t>AMG 745 (PINTA-745)</t>
  </si>
  <si>
    <t>AMG 745</t>
  </si>
  <si>
    <t>NCT01372589; NCT02257628</t>
  </si>
  <si>
    <t>Anti‚Äëmyostatin peptibody</t>
  </si>
  <si>
    <t>Muscle wasting / sarcopenia; CKD-related muscle loss</t>
  </si>
  <si>
    <t>AMG 747</t>
  </si>
  <si>
    <t>Undisclosed (muscle/activin pathway‚Äîhistorical)</t>
  </si>
  <si>
    <t>Muscle wasting</t>
  </si>
  <si>
    <t>AMG 761</t>
  </si>
  <si>
    <t>Undisclosed (oncology)</t>
  </si>
  <si>
    <t>AMG 811</t>
  </si>
  <si>
    <t>NCT01716626</t>
  </si>
  <si>
    <t>IFN-Œ≥ monoclonal antibody</t>
  </si>
  <si>
    <t>AMG 820</t>
  </si>
  <si>
    <t>NCT01416668; NCT01496742</t>
  </si>
  <si>
    <t>CSF1R monoclonal antibody</t>
  </si>
  <si>
    <t>AMG 837</t>
  </si>
  <si>
    <t>NCT00772985</t>
  </si>
  <si>
    <t>GPR40/FFA1 agonist (oral)</t>
  </si>
  <si>
    <t>AMG 888</t>
  </si>
  <si>
    <t>AMG 900</t>
  </si>
  <si>
    <t>NCT00809477; NCT01380756</t>
  </si>
  <si>
    <t>Aurora kinase small-molecule inhibitor</t>
  </si>
  <si>
    <t>Various cancers</t>
  </si>
  <si>
    <t>Abrilumab</t>
  </si>
  <si>
    <t>AMG 181</t>
  </si>
  <si>
    <t>NCT01696461; NCT02179449</t>
  </si>
  <si>
    <t>Œ±4Œ≤7 integrin monoclonal antibody</t>
  </si>
  <si>
    <t>Inflammatory bowel disease</t>
  </si>
  <si>
    <t>Acapatamab (AMG 160, PSMAxCD3 BiTE)</t>
  </si>
  <si>
    <t>AMG 160</t>
  </si>
  <si>
    <t>NCT03792841</t>
  </si>
  <si>
    <t>AMG 951</t>
  </si>
  <si>
    <t>Neurotrophic factor protein therapy</t>
  </si>
  <si>
    <t>Brazikumab</t>
  </si>
  <si>
    <t>AMG 139</t>
  </si>
  <si>
    <t>NCT02389975</t>
  </si>
  <si>
    <t>IL-23 monoclonal antibody</t>
  </si>
  <si>
    <t>Crohn‚Äôs disease; ulcerative colitis</t>
  </si>
  <si>
    <t>Conatumumab</t>
  </si>
  <si>
    <t>AMG 655</t>
  </si>
  <si>
    <t>NCT00397579; NCT00484613</t>
  </si>
  <si>
    <t>DR5 (TRAIL-R2) agonist mAb</t>
  </si>
  <si>
    <t>Solid tumors; hematologic malignancies</t>
  </si>
  <si>
    <t>Dulanermin (rhApo2L/TRAIL)</t>
  </si>
  <si>
    <t>NCT00381096; NCT00316613</t>
  </si>
  <si>
    <t>Recombinant human TRAIL ligand</t>
  </si>
  <si>
    <t>GDNF (glial cell line-derived neurotrophic factor)</t>
  </si>
  <si>
    <t>Ganitumab</t>
  </si>
  <si>
    <t>AMG 479</t>
  </si>
  <si>
    <t>NCT00609168; NCT00372985</t>
  </si>
  <si>
    <t>IGF-1R monoclonal antibody</t>
  </si>
  <si>
    <t>Pancreatic and other solid tumors</t>
  </si>
  <si>
    <t>Leptin (metreleptin/r-metHuLeptin)</t>
  </si>
  <si>
    <t>Leptin replacement</t>
  </si>
  <si>
    <t>Lipodystrophy; hypothalamic amenorrhea; obesity</t>
  </si>
  <si>
    <t>Motesanib diphosphate</t>
  </si>
  <si>
    <t>AMG 706</t>
  </si>
  <si>
    <t>NCT00378358; NCT00336031</t>
  </si>
  <si>
    <t>Multi-kinase TKI (VEGFR/PDGFR/Kit/Ret)</t>
  </si>
  <si>
    <t>Solid tumors incl. NSCLC, thyroid, GIST</t>
  </si>
  <si>
    <t>PEG-sTNF-R1 (pegylated soluble TNF receptor-1)</t>
  </si>
  <si>
    <t>TNF inhibitor (protein) second-generation</t>
  </si>
  <si>
    <t>Rilotumumab</t>
  </si>
  <si>
    <t>AMG 102</t>
  </si>
  <si>
    <t>NCT01697072; NCT02137343</t>
  </si>
  <si>
    <t>HGF monoclonal antibody</t>
  </si>
  <si>
    <t>Gastric cancer</t>
  </si>
  <si>
    <t>Trebananib</t>
  </si>
  <si>
    <t>AMG 386</t>
  </si>
  <si>
    <t>NCT01204749; NCT01493505</t>
  </si>
  <si>
    <t>Angiopoietin-1/2 inhibitor (peptibody)</t>
  </si>
  <si>
    <t>Ovarian cancer; solid tumors</t>
  </si>
  <si>
    <t>Xaluritamig (AMG 509, STEAP1xCD3 TCE)</t>
  </si>
  <si>
    <t>AMG 509</t>
  </si>
  <si>
    <t>NCT05224319</t>
  </si>
  <si>
    <t>STEAP1xCD3 T cell engager</t>
  </si>
  <si>
    <t>turn8view0</t>
  </si>
  <si>
    <t>turn8view1</t>
  </si>
  <si>
    <t>ABX-EGF / AMG (post-2006)</t>
  </si>
  <si>
    <t>Metastatic colorectal cancer; other solid tumors (early pipeline)</t>
  </si>
  <si>
    <t>Phase 2 series ongoing as of 2002; co-developed with Abgenix (Amgen post-2006 acquisition)</t>
  </si>
  <si>
    <t>PEG-sTNF-R1 (pegylated soluble TNF receptor type 1)</t>
  </si>
  <si>
    <t>Pegylated soluble TNF receptor (cytokine trap)</t>
  </si>
  <si>
    <t>Rheumatoid arthritis (monotherapy and in combination with anakinra)</t>
  </si>
  <si>
    <t>Phase 2 by 2002; combination with Kineret stopped early 2003 for safety</t>
  </si>
  <si>
    <t>2002-2003</t>
  </si>
  <si>
    <t>turn8view2</t>
  </si>
  <si>
    <t>Abarelix depot (GnRH antagonist)</t>
  </si>
  <si>
    <t>N (Amgen involvement)</t>
  </si>
  <si>
    <t>GnRH antagonist (androgen deprivation)</t>
  </si>
  <si>
    <t>Licensed from Praecis in 1999; Amgen collaborated on development; subsequently discontinued by Amgen; (drug later received limited approval by Praecis/Abbott)</t>
  </si>
  <si>
    <t>2000 (Annual Report)</t>
  </si>
  <si>
    <t>turn1view0</t>
  </si>
  <si>
    <t>Recombinant human G-CSF</t>
  </si>
  <si>
    <t>Prevention of chemotherapy-induced neutropenia and other neutropenias</t>
  </si>
  <si>
    <t>US launch 1991; multiple indications</t>
  </si>
  <si>
    <t>turn15view0</t>
  </si>
  <si>
    <t>2005 Annual Report</t>
  </si>
  <si>
    <t>https://www.annualreports.com/HostedData/AnnualReportArchive/a/NASDAQ_AMGN_2005.pdf</t>
  </si>
  <si>
    <t>2008 Annual Report</t>
  </si>
  <si>
    <t>https://www.annualreports.com/HostedData/AnnualReportArchive/a/NASDAQ_AMGN_2008.pdf</t>
  </si>
  <si>
    <t>AMG 477</t>
  </si>
  <si>
    <t>AMG 827</t>
  </si>
  <si>
    <t>AMG 853</t>
  </si>
  <si>
    <t>2011 10-K</t>
  </si>
  <si>
    <t>https://www.sec.gov/Archives/edgar/data/318154/000119312512086670/d241420d10k.htm</t>
  </si>
  <si>
    <t>AMG 319</t>
  </si>
  <si>
    <t>AMG 579</t>
  </si>
  <si>
    <t>AMG 729</t>
  </si>
  <si>
    <t>AMG 780</t>
  </si>
  <si>
    <t>AMG 876</t>
  </si>
  <si>
    <t>2015 10-K</t>
  </si>
  <si>
    <t>https://www.sec.gov/Archives/edgar/data/318154/000031815416000031/amgn-12312015x10k.htm</t>
  </si>
  <si>
    <t>AMG 224 (anti-BCMA ADC)</t>
  </si>
  <si>
    <t>AMG 224</t>
  </si>
  <si>
    <t>AMG 228</t>
  </si>
  <si>
    <t>AMG 232 (MDM2 inhibitor)</t>
  </si>
  <si>
    <t>AMG 232</t>
  </si>
  <si>
    <t>AMG 301</t>
  </si>
  <si>
    <t>AMG 357</t>
  </si>
  <si>
    <t>AMG 581</t>
  </si>
  <si>
    <t>AMG 592 (efavaleukin alfa)</t>
  </si>
  <si>
    <t>AMG 592</t>
  </si>
  <si>
    <t>Oprozomib (ONX 0912)</t>
  </si>
  <si>
    <t>Oprozomib</t>
  </si>
  <si>
    <t>AMG 986</t>
  </si>
  <si>
    <t>2016 10-K</t>
  </si>
  <si>
    <t>https://www.sec.gov/Archives/edgar/data/318154/000031815417000004/amgn-12312016x10k.htm</t>
  </si>
  <si>
    <t>AMG 176 (MCL1 inhibitor, tapotoclax)</t>
  </si>
  <si>
    <t>AMG 176</t>
  </si>
  <si>
    <t>2017 10-K</t>
  </si>
  <si>
    <t>https://www.sec.gov/Archives/edgar/data/318154/000031815418000004/amgn-12312017x10k.htm</t>
  </si>
  <si>
    <t>AMG 119</t>
  </si>
  <si>
    <t>Small-cell lung cancer</t>
  </si>
  <si>
    <t>2018 10-K</t>
  </si>
  <si>
    <t>https://www.sec.gov/Archives/edgar/data/318154/000031815419000008/amgn-12312018x10kq42018.htm</t>
  </si>
  <si>
    <t>Acapatamab (formerly AMG 160)</t>
  </si>
  <si>
    <t>AMG 397</t>
  </si>
  <si>
    <t>AMG 427</t>
  </si>
  <si>
    <t>AMG 510</t>
  </si>
  <si>
    <t>KRAS G12C inhibitor</t>
  </si>
  <si>
    <t>Solid tumors (KRAS G12C)</t>
  </si>
  <si>
    <t>AMG 562</t>
  </si>
  <si>
    <t>AMG 570</t>
  </si>
  <si>
    <t>AMG 596</t>
  </si>
  <si>
    <t>AMG 598</t>
  </si>
  <si>
    <t>AMG 757</t>
  </si>
  <si>
    <t>HLE BiTE (DLL3 x CD3)</t>
  </si>
  <si>
    <t>Olpasiran (AMG 890)</t>
  </si>
  <si>
    <t>AMG 890</t>
  </si>
  <si>
    <t>AMG 966</t>
  </si>
  <si>
    <t>AMG 171</t>
  </si>
  <si>
    <t>2019 10-K</t>
  </si>
  <si>
    <t>2023 10-K</t>
  </si>
  <si>
    <t>https://www.sec.gov/Archives/edgar/data/318154/000031815424000011/amgn-20231231.htm</t>
  </si>
  <si>
    <t>AMG 104</t>
  </si>
  <si>
    <t>AMG 193</t>
  </si>
  <si>
    <t>AMG 305</t>
  </si>
  <si>
    <t>AMG 329</t>
  </si>
  <si>
    <t>AMG 355</t>
  </si>
  <si>
    <t>AMG 651</t>
  </si>
  <si>
    <t>AMG 786</t>
  </si>
  <si>
    <t>AMG 794</t>
  </si>
  <si>
    <t>Bemarituzumab</t>
  </si>
  <si>
    <t>Asset (program)</t>
  </si>
  <si>
    <t>Vant / Entity</t>
  </si>
  <si>
    <t>Licensor</t>
  </si>
  <si>
    <t>Deal timing</t>
  </si>
  <si>
    <t>Territories</t>
  </si>
  <si>
    <t>Upfront paid</t>
  </si>
  <si>
    <t>Other economics (headline)</t>
  </si>
  <si>
    <t>Intepirdine (RVT-101)</t>
  </si>
  <si>
    <t>Axovant</t>
  </si>
  <si>
    <t>GlaxoSmithKline</t>
  </si>
  <si>
    <t>Worldwide</t>
  </si>
  <si>
    <r>
      <t>$5m</t>
    </r>
    <r>
      <rPr>
        <sz val="12"/>
        <color theme="1"/>
        <rFont val="Aptos Narrow"/>
        <family val="2"/>
        <scheme val="minor"/>
      </rPr>
      <t xml:space="preserve"> + </t>
    </r>
    <r>
      <rPr>
        <b/>
        <sz val="12"/>
        <color theme="1"/>
        <rFont val="Aptos Narrow"/>
        <family val="2"/>
        <scheme val="minor"/>
      </rPr>
      <t>$5m</t>
    </r>
    <r>
      <rPr>
        <sz val="12"/>
        <color theme="1"/>
        <rFont val="Aptos Narrow"/>
        <family val="2"/>
        <scheme val="minor"/>
      </rPr>
      <t xml:space="preserve"> deferred (2016)</t>
    </r>
  </si>
  <si>
    <t>$35m/$25m/$10m approval milestones (US/EU/JP); $85m sales milestone; 12.5% royalty.</t>
  </si>
  <si>
    <t>Arena (via RSL option)</t>
  </si>
  <si>
    <r>
      <t>$5.3m</t>
    </r>
    <r>
      <rPr>
        <sz val="12"/>
        <color theme="1"/>
        <rFont val="Aptos Narrow"/>
        <family val="2"/>
        <scheme val="minor"/>
      </rPr>
      <t xml:space="preserve"> (110% reimbursement of RSL payments)</t>
    </r>
  </si>
  <si>
    <t>Up to $4m dev + $37.5m regulatory + $60m commercial; supply priced at 15% of net sales.</t>
  </si>
  <si>
    <t>Qaam</t>
  </si>
  <si>
    <r>
      <t>$0.6m</t>
    </r>
    <r>
      <rPr>
        <sz val="12"/>
        <color theme="1"/>
        <rFont val="Aptos Narrow"/>
        <family val="2"/>
        <scheme val="minor"/>
      </rPr>
      <t xml:space="preserve"> (fee + expenses)</t>
    </r>
  </si>
  <si>
    <t>—.</t>
  </si>
  <si>
    <t>Axovant Gene Therapies (Sio)</t>
  </si>
  <si>
    <t>Oxford Biomedica</t>
  </si>
  <si>
    <r>
      <t>$30m</t>
    </r>
    <r>
      <rPr>
        <sz val="12"/>
        <color theme="1"/>
        <rFont val="Aptos Narrow"/>
        <family val="2"/>
        <scheme val="minor"/>
      </rPr>
      <t xml:space="preserve"> (incl. $5m supply credit)</t>
    </r>
  </si>
  <si>
    <t>$55m dev + $757.5m reg/sales milestones; 7–10% royalties.</t>
  </si>
  <si>
    <t>AXO-AAV-OPMD (BB-301)</t>
  </si>
  <si>
    <t>Axovant Gene Therapies</t>
  </si>
  <si>
    <t>Benitec</t>
  </si>
  <si>
    <t>$10m</t>
  </si>
  <si>
    <t>$17.5m near-term milestones; up to $187.5m total; 30% profit share on OPMD product + royalties on others.</t>
  </si>
  <si>
    <t>AXO-AAV-GM1 / GM2</t>
  </si>
  <si>
    <t>UMass Medical School</t>
  </si>
  <si>
    <t>$24.5m dev/reg + $39.8m commercial milestones; mid-single-digit royalties.</t>
  </si>
  <si>
    <t>Relugolix + MVT-602</t>
  </si>
  <si>
    <t>Myovant</t>
  </si>
  <si>
    <t>Takeda</t>
  </si>
  <si>
    <t>Global ex-selected Asia for relugolix</t>
  </si>
  <si>
    <t>No dev/approval milestones; high single-digit royalties; Takeda received 12% equity (subscription + warrant).</t>
  </si>
  <si>
    <t>Urovant</t>
  </si>
  <si>
    <t>Merck (MSD)</t>
  </si>
  <si>
    <t>WW ex-Japan/parts of Asia</t>
  </si>
  <si>
    <t>$25m</t>
  </si>
  <si>
    <t>Up to $44m regulatory + $80m sales milestones; sub-teen double-digit royalties.</t>
  </si>
  <si>
    <t>Tapinarof (VTAMA)</t>
  </si>
  <si>
    <t>Dermavant</t>
  </si>
  <si>
    <t>GSK</t>
  </si>
  <si>
    <r>
      <t>£150m</t>
    </r>
    <r>
      <rPr>
        <sz val="12"/>
        <color theme="1"/>
        <rFont val="Aptos Narrow"/>
        <family val="2"/>
        <scheme val="minor"/>
      </rPr>
      <t xml:space="preserve"> (~$191m)</t>
    </r>
  </si>
  <si>
    <r>
      <t>£100m</t>
    </r>
    <r>
      <rPr>
        <sz val="12"/>
        <color theme="1"/>
        <rFont val="Aptos Narrow"/>
        <family val="2"/>
        <scheme val="minor"/>
      </rPr>
      <t xml:space="preserve"> upon US approval; no GSK royalties; assumed Welichem obligations (CAD$80m dev + CAD$100m commercial).</t>
    </r>
  </si>
  <si>
    <t>Cerdulatinib (topical)</t>
  </si>
  <si>
    <t>Portola</t>
  </si>
  <si>
    <t>Topical, non-oncology</t>
  </si>
  <si>
    <t>$8.8m</t>
  </si>
  <si>
    <t>$15.0m dev (incl. $3.8m paid), $21.3m regulatory, $100m commercial; high single-digit royalties; potential pass-through up to $71.5m to Astellas.</t>
  </si>
  <si>
    <t>Lotamilast (E6005) (topical)</t>
  </si>
  <si>
    <t>Eisai</t>
  </si>
  <si>
    <t>2015/2016</t>
  </si>
  <si>
    <t>Topical derm uses</t>
  </si>
  <si>
    <t>$3.5m</t>
  </si>
  <si>
    <t>$5.0m dev + $30.5m regulatory milestones; sub-teen double-digit royalties.</t>
  </si>
  <si>
    <t>AstraZeneca</t>
  </si>
  <si>
    <t>See license</t>
  </si>
  <si>
    <t>$2m</t>
  </si>
  <si>
    <t>$13.5m dev + $45m regulatory + $25m commercial; tiered high single-digit→sub-teen royalties.</t>
  </si>
  <si>
    <t>TheraVida</t>
  </si>
  <si>
    <t>Ex-OAB, selected Asia carve-outs</t>
  </si>
  <si>
    <t>$8m dev + $45m regulatory + $105m commercial; tiered royalties; sublicensing rev share.</t>
  </si>
  <si>
    <t>Batoclimab + IMVT-1402 (FcRn mAbs)</t>
  </si>
  <si>
    <t>Immunovant</t>
  </si>
  <si>
    <t>HanAll</t>
  </si>
  <si>
    <t>US/Canada/Europe &amp; more (ex-Asia)</t>
  </si>
  <si>
    <t>$30m</t>
  </si>
  <si>
    <r>
      <t xml:space="preserve">$10m milestone hit 2019; up to </t>
    </r>
    <r>
      <rPr>
        <b/>
        <sz val="12"/>
        <color theme="1"/>
        <rFont val="Aptos Narrow"/>
        <family val="2"/>
        <scheme val="minor"/>
      </rPr>
      <t>$442.5m</t>
    </r>
    <r>
      <rPr>
        <sz val="12"/>
        <color theme="1"/>
        <rFont val="Aptos Narrow"/>
        <family val="2"/>
        <scheme val="minor"/>
      </rPr>
      <t xml:space="preserve"> additional milestones; royalties.</t>
    </r>
  </si>
  <si>
    <t>RVT-3101 (anti-TL1A)</t>
  </si>
  <si>
    <t>Telavant (Roivant 75% / Pfizer 25%)</t>
  </si>
  <si>
    <t>Pfizer</t>
  </si>
  <si>
    <t>Sept–Dec 2022</t>
  </si>
  <si>
    <t>US &amp; Japan (Pfizer kept RoW)</t>
  </si>
  <si>
    <r>
      <t>$45m</t>
    </r>
    <r>
      <rPr>
        <sz val="12"/>
        <color theme="1"/>
        <rFont val="Aptos Narrow"/>
        <family val="2"/>
        <scheme val="minor"/>
      </rPr>
      <t xml:space="preserve"> (Roivant cash contribution to the JV)</t>
    </r>
  </si>
  <si>
    <t>Structure was a JV; cash paid to Pfizer not disclosed; later sold to Roche for $7.1B + $150m near-term milestone.</t>
  </si>
  <si>
    <t>Brepocitinib / Ropsacitinib</t>
  </si>
  <si>
    <t>Priovant (Roivant/Pfizer)</t>
  </si>
  <si>
    <t>Sept 2021 (unveiled Jun 2022)</t>
  </si>
  <si>
    <t>Global dev; US/JP comm.</t>
  </si>
  <si>
    <r>
      <t xml:space="preserve">Pfizer took </t>
    </r>
    <r>
      <rPr>
        <b/>
        <sz val="12"/>
        <color theme="1"/>
        <rFont val="Aptos Narrow"/>
        <family val="2"/>
        <scheme val="minor"/>
      </rPr>
      <t>25% equity</t>
    </r>
    <r>
      <rPr>
        <sz val="12"/>
        <color theme="1"/>
        <rFont val="Aptos Narrow"/>
        <family val="2"/>
        <scheme val="minor"/>
      </rPr>
      <t xml:space="preserve"> in Priovant; sub-teens royalties noted in investor materials.</t>
    </r>
  </si>
  <si>
    <t>Mosliciguat (inhaled sGC activator)</t>
  </si>
  <si>
    <t>Pulmovant</t>
  </si>
  <si>
    <t>Bayer</t>
  </si>
  <si>
    <t>$14m</t>
  </si>
  <si>
    <r>
      <t xml:space="preserve">Up to </t>
    </r>
    <r>
      <rPr>
        <b/>
        <sz val="12"/>
        <color theme="1"/>
        <rFont val="Aptos Narrow"/>
        <family val="2"/>
        <scheme val="minor"/>
      </rPr>
      <t>$280m</t>
    </r>
    <r>
      <rPr>
        <sz val="12"/>
        <color theme="1"/>
        <rFont val="Aptos Narrow"/>
        <family val="2"/>
        <scheme val="minor"/>
      </rPr>
      <t xml:space="preserve"> milestones; tiered high-single-digit royalties.</t>
    </r>
  </si>
  <si>
    <t>RVT-802 / RETHYMIC (thymus tissue)</t>
  </si>
  <si>
    <t>Enzyvant</t>
  </si>
  <si>
    <t>Duke University</t>
  </si>
  <si>
    <t>Exclusive worldwide license (financial terms not public).</t>
  </si>
  <si>
    <t>TCRs &amp; DC vaccine (NY-ESO-1; WT-1/PRAME)</t>
  </si>
  <si>
    <t>Cytovant</t>
  </si>
  <si>
    <t>Medigene</t>
  </si>
  <si>
    <t>Greater China, SK, Japan</t>
  </si>
  <si>
    <r>
      <t xml:space="preserve">Potential </t>
    </r>
    <r>
      <rPr>
        <b/>
        <sz val="12"/>
        <color theme="1"/>
        <rFont val="Aptos Narrow"/>
        <family val="2"/>
        <scheme val="minor"/>
      </rPr>
      <t>&gt;$1B</t>
    </r>
    <r>
      <rPr>
        <sz val="12"/>
        <color theme="1"/>
        <rFont val="Aptos Narrow"/>
        <family val="2"/>
        <scheme val="minor"/>
      </rPr>
      <t xml:space="preserve"> milestones; low double-digit royalties.</t>
    </r>
  </si>
  <si>
    <t>Price Paid</t>
  </si>
  <si>
    <t>RVT-103 / RVT-104 (combo IP)</t>
  </si>
  <si>
    <t>DMVT-503 (topical sebum inhibitor)</t>
  </si>
  <si>
    <t>DMVT-504 (oxyb./piloc.)</t>
  </si>
  <si>
    <t>https://chatgpt.com/share/68c1acc6-df64-8003-98a2-4ff1a45ff694</t>
  </si>
  <si>
    <t>If Not Approved: Trials Ongoing (Y/N)</t>
  </si>
  <si>
    <t>Clinical Trial # (not exhaustive)</t>
  </si>
  <si>
    <t>Peak Sales Achieved (annual)</t>
  </si>
  <si>
    <t>Projected Peak Global Sales (Avg of sources within last 10y)</t>
  </si>
  <si>
    <t>Enasidenib (IDHIFA¬Æ) [AG-221]</t>
  </si>
  <si>
    <t>2017-08-01 (US FDA, R/R AML with IDH2 mutation)</t>
  </si>
  <si>
    <t>NCT01915498; NCT02577406</t>
  </si>
  <si>
    <t>Mutant IDH2 inhibitor (reduces 2‚ÄëHG)</t>
  </si>
  <si>
    <t>Relapsed/Refractory AML (IDH2‚Äëmut)</t>
  </si>
  <si>
    <t>https://www.nature.com/articles/nbt1017-895; https://www.fiercepharma.com/pharma/fda-approves-targeted-aml-drug-idhifa-from-celgene-agios</t>
  </si>
  <si>
    <t>Ivosidenib (TIBSOVO¬Æ) [AG-120]</t>
  </si>
  <si>
    <t>2018-07-20 (US FDA, R/R AML, IDH1); 2021-08-25 (US FDA, cholangiocarcinoma)</t>
  </si>
  <si>
    <t>NCT02074839; NCT03173248; NCT02989857</t>
  </si>
  <si>
    <t>Mutant IDH1 inhibitor</t>
  </si>
  <si>
    <t>AML (IDH1‚Äëmut); Cholangiocarcinoma (IDH1‚Äëmut)</t>
  </si>
  <si>
    <t>https://www.nature.com/articles/nbt1017-895; https://www.clinicaltrialsarena.com/analyst-comment/tibsovo-myelodysplastic-syndrome/</t>
  </si>
  <si>
    <t>Vorasidenib (Voranigo‚Ñ¢) [AG-881]</t>
  </si>
  <si>
    <t>2024-08-06 (US FDA, Grade 2 IDH‚Äëmut diffuse glioma, ‚â•12y)</t>
  </si>
  <si>
    <t>NCT04164901; NCT02481154</t>
  </si>
  <si>
    <t>Brain‚Äëpenetrant dual mutant IDH1/IDH2 inhibitor</t>
  </si>
  <si>
    <t>Grade 2 diffuse glioma (IDH‚Äëmut)</t>
  </si>
  <si>
    <t>N/A (recent launch)</t>
  </si>
  <si>
    <t>https://www.royaltypharma.com/wp-content/uploads/2024/05/RPRX-vorasidenib-Press-Release.pdf; https://www.biopharmadive.com/news/agios-royalty-pharma-vorasidenib-servier-brain-cancer-drug-deal/717198/</t>
  </si>
  <si>
    <t>Mitapivat (PYRUKYND¬Æ) [AG-348]</t>
  </si>
  <si>
    <t>2022-02-17 (US FDA, hemolytic anemia in adults with PK deficiency)</t>
  </si>
  <si>
    <t>NCT03548220; NCT03559699; NCT04770753; NCT04770779; NCT05031780</t>
  </si>
  <si>
    <t>Allosteric activator of PKR (red blood cell pyruvate kinase)</t>
  </si>
  <si>
    <t>Pyruvate kinase (PK) deficiency; development in thalassemia and sickle cell disease</t>
  </si>
  <si>
    <t>https://www.bioworld.com/articles/707713-agios-pyrukynd-coming-from-behind-with-new-uses; https://www.statnews.com/2024/06/03/agios-blood-transfusions-beta-thalassemia-mitapivat/</t>
  </si>
  <si>
    <t>AG-519 (next‚Äëgen PKR activator)</t>
  </si>
  <si>
    <t>N (program discontinued/IND withdrawn following FDA clinical hold)</t>
  </si>
  <si>
    <t>NCT02630927</t>
  </si>
  <si>
    <t>Allosteric activator of PKR (second‚Äëgeneration)</t>
  </si>
  <si>
    <t>Pyruvate kinase deficiency (Phase 1 in healthy volunteers)</t>
  </si>
  <si>
    <t>AG-270 (MAT2A inhibitor; Servier S095033)</t>
  </si>
  <si>
    <t>N (first‚Äëin‚Äëhuman monotherapy reported; study completed)</t>
  </si>
  <si>
    <t>NCT03435250</t>
  </si>
  <si>
    <t>Inhibitor of methionine adenosyltransferase 2A (MAT2A) for MTAP‚Äëdeleted cancers</t>
  </si>
  <si>
    <t>Advanced solid tumors / lymphoma with MTAP deletion</t>
  </si>
  <si>
    <t>AG-636 (DHODH inhibitor)</t>
  </si>
  <si>
    <t>N (Phase 1 in lymphoma terminated)</t>
  </si>
  <si>
    <t>NCT03834584</t>
  </si>
  <si>
    <t>Dihydroorotate dehydrogenase (DHODH) inhibitor</t>
  </si>
  <si>
    <t>Advanced lymphoma</t>
  </si>
  <si>
    <t>Tebapivat (AG-946; next‚Äëgen PKR activator)</t>
  </si>
  <si>
    <t>NCT05490446</t>
  </si>
  <si>
    <t>Potent allosteric activator of PKR (next‚Äëgeneration)</t>
  </si>
  <si>
    <t>Anemia due to lower‚Äërisk myelodysplastic syndromes (LR‚ÄëMDS)</t>
  </si>
  <si>
    <t>AG-181 (PAH stabilizer)</t>
  </si>
  <si>
    <t>NCT06286033</t>
  </si>
  <si>
    <t>Phenylalanine hydroxylase (PAH) stabilizer (small molecule)</t>
  </si>
  <si>
    <t>Phenylketonuria (PKU)</t>
  </si>
  <si>
    <t>AG-236 (siRNA targeting TMPRSS6)</t>
  </si>
  <si>
    <t>NCT07075640</t>
  </si>
  <si>
    <t>siRNA targeting TMPRSS6 (matriptase-2) to increase hepcidin</t>
  </si>
  <si>
    <t>Polycythemia vera (Phase 1 in healthy participants)</t>
  </si>
  <si>
    <t>$98M (2019, Celgene product sales)</t>
  </si>
  <si>
    <t>Not publicly broken out by Servier; Agios reported $19.6M US product revenue in 19 pre-divestiture</t>
  </si>
  <si>
    <t>N/A (company reports quarterly; e.g., Q4‚23 US net product revenue $7.1M)</t>
  </si>
  <si>
    <t>Agios</t>
  </si>
  <si>
    <t>Anti-CD20 radioimmunoimaging agent (Indium-111 labeled ibritumomab)</t>
  </si>
  <si>
    <t>Imaging in B-cell non-Hodgkin lymphoma (paired with Y2B8 therapy)</t>
  </si>
  <si>
    <t>Schering-Plough (licensee); Biogen held alpha-interferon IP</t>
  </si>
  <si>
    <t>Licensed-out IP (Biogen patents)</t>
  </si>
  <si>
    <t>Recombinant interferon alfa-2b</t>
  </si>
  <si>
    <t>Biogen granted an exclusive worldwide license to Schering-Plough in 1979; Biogen received U.S./Italy royalties under its alpha-interferon patents; INTRON A approved 1986; franchise later included PEG-INTRON.</t>
  </si>
  <si>
    <t>Hepatitis B vaccine IP ‚Üí ENGERIX-B (GSK)</t>
  </si>
  <si>
    <t>EVOLVE-MS-2</t>
  </si>
  <si>
    <t>Anti-CD20 radioimmunotherapy (Y-90)</t>
  </si>
  <si>
    <t>Relapsed/refractory low-grade or follicular NHL</t>
  </si>
  <si>
    <t>Opicinumab (BIIB033; anti-LINGO-1)</t>
  </si>
  <si>
    <t>Blocks LINGO-1 to promote remyelination</t>
  </si>
  <si>
    <t>Anti-Œ±-synuclein monoclonal antibody</t>
  </si>
  <si>
    <t>Anti-tau monoclonal antibody</t>
  </si>
  <si>
    <t>BIIB076 (anti-tau mAb)</t>
  </si>
  <si>
    <t>BIIB080 (IONIS-MAPTRx; MAPT ASO)</t>
  </si>
  <si>
    <t>SUR1-TRPM4 channel inhibitor; IV glibenclamide</t>
  </si>
  <si>
    <t>BG00011 (STX-100; anti-Œ±vŒ≤6 integrin)</t>
  </si>
  <si>
    <t>Anti-Œ±vŒ≤6 integrin mAb (TGF-Œ≤ activation inhibitor)</t>
  </si>
  <si>
    <t>IDEC-131 (anti-CD40L)</t>
  </si>
  <si>
    <t>Anti-CD154 (CD40 ligand) monoclonal antibody</t>
  </si>
  <si>
    <t>Anti-CD40L pegylated Fab‚Äô</t>
  </si>
  <si>
    <t>Biogen/IDEC - advanced to clinic</t>
  </si>
  <si>
    <t>Biogen/IDEC - advanced to clinic (diagnostic/imaging)</t>
  </si>
  <si>
    <t>Interferon alfa-2b (INTRON A) - Licensed-out IP</t>
  </si>
  <si>
    <t>Biogen-originated; later licensed; multiple RCTs in 1993-1997 showed efficacy vs heparin</t>
  </si>
  <si>
    <t>Phase 3 (RA/LN) by 2008-2010</t>
  </si>
  <si>
    <t>anti-CRIPTO-DM4 ADC</t>
  </si>
  <si>
    <t>Inhibits BAFF-BR3 signaling (B-cell survival pathway)</t>
  </si>
  <si>
    <t>Anti-IFN-Œ≥ mAb</t>
  </si>
  <si>
    <t>GDNF family ligand (Artemin) - neurotrophic factor</t>
  </si>
  <si>
    <t>Completed Trials</t>
  </si>
  <si>
    <t>Amgen</t>
  </si>
  <si>
    <t>Biogen</t>
  </si>
  <si>
    <t>https://www.sec.gov/Archives/edgar/data/1113481/000111348114000010/pressrelease.htm?utm_source=chatgpt.com</t>
  </si>
  <si>
    <t>https://www.fiercepharma.com/pharma/alzheimer-s-fda-nod-bag-biogen-faces-historic-drug-launch-and-10b-potential-sales-analysts?utm_source=chatgpt.com https://www.reuters.com/business/healthcare-pharmaceuticals/biogen-alzheimers-drug-hits-roadblocks-with-some-hospitals-insurers-2021-07-15/?utm_source=chatgpt.com</t>
  </si>
  <si>
    <t>Withdrawn</t>
  </si>
  <si>
    <t>Avg Projection</t>
  </si>
  <si>
    <t>https://www.biopharmadive.com/news/biogen-tofersen-als-fda-approval-decision/648235/?utm_source=chatgpt.com</t>
  </si>
  <si>
    <t>https://www.fiercepharma.com/pharma/another-zolgensma-delay-bad-for-novartis-sma-but-good-for-biogen-s-spinraza-analyst?utm_source=chatgpt.com</t>
  </si>
  <si>
    <t>https://onlinelibrary.wiley.com/doi/abs/10.1002/art.23732;https://investors.biogen.com/news-releases/news-release-details/roche-and-biogen-idec-announce-their-decision-discontinue https://www.biopharmadive.com/news/most-impressive-drug-launch-roche-ocrevus-2017/510814/?utm_source=chatgpt.com</t>
  </si>
  <si>
    <t>Avg</t>
  </si>
  <si>
    <t>Ongoing (Y/N)</t>
  </si>
  <si>
    <t>Unknown</t>
  </si>
  <si>
    <t>"Anti-TSLP Fab"</t>
  </si>
  <si>
    <t>"Asthma"</t>
  </si>
  <si>
    <t>"(CAR-T; internal code targeting DLL3 in SCLC; distinct from approved tarlatamab)"</t>
  </si>
  <si>
    <t>"Small-cell lung cancer"</t>
  </si>
  <si>
    <t>"HLE BiTE (PSMA x CD3)"</t>
  </si>
  <si>
    <t>"Prostate cancer"</t>
  </si>
  <si>
    <t>"Bone biology target (Amgen internal; limited public detail)"</t>
  </si>
  <si>
    <t>"Bone-related conditions"</t>
  </si>
  <si>
    <t>"NCT04199351"</t>
  </si>
  <si>
    <t>"GDF‑15 analog"</t>
  </si>
  <si>
    <t>"Obesity"</t>
  </si>
  <si>
    <t>"MCL‑1 inhibitor"</t>
  </si>
  <si>
    <t>"Hematologic malignancies"</t>
  </si>
  <si>
    <t>"NCT05094336; NCT06360354"</t>
  </si>
  <si>
    <t>"MTA‑cooperative PRMT5 inhibitor"</t>
  </si>
  <si>
    <t>"Solid tumors (MTAP‑null)"</t>
  </si>
  <si>
    <t>"Antibody‑drug conjugate (BCMA)"</t>
  </si>
  <si>
    <t>"Multiple myeloma"</t>
  </si>
  <si>
    <t>"NCT02437916"</t>
  </si>
  <si>
    <t>"Agonist anti‑GITR mAb"</t>
  </si>
  <si>
    <t>"Solid tumors"</t>
  </si>
  <si>
    <t>"NCT02016729"</t>
  </si>
  <si>
    <t>"MDM2 inhibitor (later KRT‑232 via Kartos)"</t>
  </si>
  <si>
    <t>"Various cancer types"</t>
  </si>
  <si>
    <t>"PAC1 (PACAP type I) receptor antibody (migraine biology)"</t>
  </si>
  <si>
    <t>"Migraine"</t>
  </si>
  <si>
    <t>"Dual‑acting BiTE (e.g.</t>
  </si>
  <si>
    <t xml:space="preserve"> CDH3 × mesothelin; early phase)"</t>
  </si>
  <si>
    <t>"NCT01300026"</t>
  </si>
  <si>
    <t>"PI3K‑δ inhibitor"</t>
  </si>
  <si>
    <t>"Anti‑FLT3‑ligand mAb (immune modulation)"</t>
  </si>
  <si>
    <t>"Autoimmune disease (e.g.</t>
  </si>
  <si>
    <t xml:space="preserve"> Sjögren’s/sicca)"</t>
  </si>
  <si>
    <t>"Amgen internal oncology asset (limited public detail)"</t>
  </si>
  <si>
    <t>"NCT02499315; NCT01695876"</t>
  </si>
  <si>
    <t>"Immunology asset (Amgen internal)"</t>
  </si>
  <si>
    <t>"Autoimmune diseases"</t>
  </si>
  <si>
    <t>"Oral MCL‑1 inhibitor"</t>
  </si>
  <si>
    <t>"NCT03541369"</t>
  </si>
  <si>
    <t>"AMG 330‑class lineage (CD33xCD3 BiTE successor)"</t>
  </si>
  <si>
    <t>"Acute myeloid leukemia"</t>
  </si>
  <si>
    <t>"NCT03117998"</t>
  </si>
  <si>
    <t>"Glucagon receptor mAb (volagidemab; licensed to REMD)"</t>
  </si>
  <si>
    <t>"Type 2 diabetes"</t>
  </si>
  <si>
    <t>"NCT03571828"</t>
  </si>
  <si>
    <t>"CD19‑targeting BiTE"</t>
  </si>
  <si>
    <t>"Non‑Hodgkin’s lymphoma"</t>
  </si>
  <si>
    <t>"ICOSL × BAFF bispecific"</t>
  </si>
  <si>
    <t>"Systemic lupus erythematosus"</t>
  </si>
  <si>
    <t>"PDE10A inhibitor (neuroscience)"</t>
  </si>
  <si>
    <t>"Neuroscience"</t>
  </si>
  <si>
    <t>"NCT02567370"</t>
  </si>
  <si>
    <t>"CNS small molecule (Amgen internal)"</t>
  </si>
  <si>
    <t>"Schizophrenia"</t>
  </si>
  <si>
    <t>"NCT04680637 (SLE futility stop; IL‑2 mutein continues in UC)"</t>
  </si>
  <si>
    <t>"Engineered IL‑2 mutein (Treg‑bias)"</t>
  </si>
  <si>
    <t>"Inflammatory diseases"</t>
  </si>
  <si>
    <t>"NCT03296696"</t>
  </si>
  <si>
    <t>"BiTE (EGFRvIII × CD3)"</t>
  </si>
  <si>
    <t>"Glioblastoma"</t>
  </si>
  <si>
    <t>"NCT03757130"</t>
  </si>
  <si>
    <t>"Amgen internal (metabolic/obesity)"</t>
  </si>
  <si>
    <t>"BAFF antagonist peptibody (blisibimod; ex‑Amgen)"</t>
  </si>
  <si>
    <t>"Systemic lupus erythematosus; B‑cell CLL"</t>
  </si>
  <si>
    <t>"Protease‑activated T‑cell engager (CytomX CX‑904; EGFR×CD3)"</t>
  </si>
  <si>
    <t>"NCT03224819"</t>
  </si>
  <si>
    <t>"Emerfetamab (CD33×CD3 HLE BiTE)"</t>
  </si>
  <si>
    <t>"Humanized mAb targeting B‑cell pathway (CD19/CD32b)"</t>
  </si>
  <si>
    <t>"NCT01137552"</t>
  </si>
  <si>
    <t>"ANG1/ANG2 pathway inhibitor"</t>
  </si>
  <si>
    <t>"Small‑molecule obesity asset (retired 2024)"</t>
  </si>
  <si>
    <t>"NCT05317078"</t>
  </si>
  <si>
    <t>"BiTE targeting CLDN6 (solid tumors)"</t>
  </si>
  <si>
    <t>2017-02-15 (US)</t>
  </si>
  <si>
    <t>"IL‑17 receptor (IL‑17RA) mAb"</t>
  </si>
  <si>
    <t>"Inflammatory diseases (plaque psoriasis)"</t>
  </si>
  <si>
    <t>"https://www.fiercepharma.com/pharma-asia/troubled-psoriasis-drug-brodalumab-makes-its-worldwide-debut-japan; https://ca.news.yahoo.com/amgen-ends-collaboration-astrazeneca-inflammation-drug-205948394--finance.html"</t>
  </si>
  <si>
    <t>"NCT01018550"</t>
  </si>
  <si>
    <t>"Dual DP/CRTH2 (DP1/DP2) antagonist"</t>
  </si>
  <si>
    <t>"NCT01492465; NCT01856881"</t>
  </si>
  <si>
    <t>"Fc‑FGF21 analog heritage (later AKR‑001/efruxifermin)"</t>
  </si>
  <si>
    <t>"NCT05581303; NCT07136012"</t>
  </si>
  <si>
    <t>"siRNA to Lp(a)"</t>
  </si>
  <si>
    <t>"Cardiovascular disease (Lp(a))"</t>
  </si>
  <si>
    <t>"Bi‑specific hetero‑IgG against TNFα and TL1A"</t>
  </si>
  <si>
    <t>"Inflammatory bowel diseases"</t>
  </si>
  <si>
    <t>"NCT03276728"</t>
  </si>
  <si>
    <t>"Apelin receptor (APJ) small‑molecule agonist"</t>
  </si>
  <si>
    <t>"Heart failure"</t>
  </si>
  <si>
    <t>"NCT05052801"</t>
  </si>
  <si>
    <t>"FGFR2b monoclonal antibody"</t>
  </si>
  <si>
    <t>"Gastric/GEJ cancer (FGFR2b+) "</t>
  </si>
  <si>
    <t>"Oral proteasome inhibitor"</t>
  </si>
  <si>
    <t>32%*</t>
  </si>
  <si>
    <t>Kepivance (Keratinocyte Growth Factor (palifermin)</t>
  </si>
  <si>
    <t>Brodalumab</t>
  </si>
  <si>
    <t>NEUPOGEN (Filgrastim)</t>
  </si>
  <si>
    <t>IMDELLTRA (Tarlatamab)</t>
  </si>
  <si>
    <t>LUMAKRAS/LUMYKRAS (Sotorasib)</t>
  </si>
  <si>
    <t>Projection source</t>
  </si>
  <si>
    <t>https://www.morganstanley.com/content/dam/msdotcom/what-we-do/wealth-management-images/uit/Vintage-Values.pdf</t>
  </si>
  <si>
    <t>https://www.reuters.com/business/healthcare-pharmaceuticals/abbvies-humira-gets-us-rival-costs-could-stay-high-2023-01-31/</t>
  </si>
  <si>
    <t>https://www.biopharmadive.com/news/amgen-fda-approval-osteoporosis-drug-evenity/552437/; https://www.reuters.com/article/business/healthcare-pharmaceuticals/amgen-sets-21900-annual-price-for-new-evenity-bone-drug-idUSKCN1RR25Z/</t>
  </si>
  <si>
    <t>https://www.investing.com/news/stock-market-news/analysts-weigh-in-on-fdas-approval-for-amgens-small-cell-cancer-drug-432SI-3446268; https://www.bioworld.com/articles/708760-amgen-wins-nod-for-first-t-cell-engager-in-small-cell-lung-cancer</t>
  </si>
  <si>
    <t>https://www.fiercepharma.com/pharma-asia/oncolys-biopharma-applies-to-start-u-s-trials-a-rival-to-amgen-s-cancer-killing-virus; https://www.forbes.com/sites/arleneweintraub/2015/10/28/amgens-imlygic-may-not-boost-earnings-but-it-will-change-cancer-care/</t>
  </si>
  <si>
    <t>https://www.morganstanley.com/content/dam/msdotcom/what-we-do/wealth-management-images/uit/Vintage-Values.pdf; https://journalforclinicalstudies.com/amgen-cuts-several-hundred-u-s-jobs-primarily-sales-reps-as-covid-19-speeds-a-shift-to-digital/</t>
  </si>
  <si>
    <t>https://www.drugdiscoverytrends.com/after-flunking-one-study-amgens-tezepelumab-shows-promise-for-asthma/; https://www.fiercebiotech.com/biotech/amgen-and-astrazeneca-s-tezepelumab-coming-for-asthma-market-dominated-by-sanofi-s-dupixent</t>
  </si>
  <si>
    <t>Morgan Stanley Research base $690m, bull $940m 2030E; average shown. Actual peak to date may have occurred earlier than 2024 but not separately disclosed here.</t>
  </si>
  <si>
    <t>Amgen 2024 10-K shows AMJEVITA U.S. $202m + ROW $559m = $761m. Reuters (Refinitiv) expected $934m in 2024.</t>
  </si>
  <si>
    <t>Marketed by Sobi; peak sales not compiled here.</t>
  </si>
  <si>
    <t>Total Aranesp 2006 $4,121m (Amgen 2007 10-K).</t>
  </si>
  <si>
    <t>Not broken out in Amgen reporting beyond 2019; included in 'Other' from 2022 onward.</t>
  </si>
  <si>
    <t>Approved 2017; marketed by Bausch/LEO. Peak sales not compiled here.</t>
  </si>
  <si>
    <t>Amgen 2017 10-K shows Enbrel 2016 $5,965m.</t>
  </si>
  <si>
    <t>Amgen 2007 10-K shows Epogen 2006 $2,511m.</t>
  </si>
  <si>
    <t>At approval, sell-side estimates ranged ~$274m (Refinitiv consensus for 2024) to $700m (SVB Leerink/Porges). Actual 2024 sales exceeded both.</t>
  </si>
  <si>
    <t>Approved May 2024; Reuters and BioWorld cite sell-side estimates: Truist $1.3B consensus, BMO ~$2B.</t>
  </si>
  <si>
    <t>Nature Biotechnology article notes $63m sales in 2018. Multiple analysts (Forbes; FiercePharma citing sell-side) expected ~$200m peak.</t>
  </si>
  <si>
    <t>Amgen reported $226m full-year 2019; later years not broken out; true peak likely 2020‚Äì2021 but not publicly disaggregated.</t>
  </si>
  <si>
    <t>Jefferies cited ~$2B consensus peak; Morgan Stanley base $3.1B 2030E; average shown.</t>
  </si>
  <si>
    <t>Amgen 2024 10-K shows MVASI $1,187m in 2022; 2023 $957m; 2024 $727m.</t>
  </si>
  <si>
    <t>Amgen 2017 10-K shows Neulasta 2015 $4,715m.</t>
  </si>
  <si>
    <t>Amgen 2007 10-K shows Neupogen 2007 U.S. $861m + ROW $416m = $1,277m.</t>
  </si>
  <si>
    <t>U.S. not approved; sales declined sharply after inclusion in ESRD bundle. Peak not publicly broken out.</t>
  </si>
  <si>
    <t>Not broken out in Amgen reporting; included in 'Other'.</t>
  </si>
  <si>
    <t>UBS: $1.6B peak; SVB Leerink: $1.3B by 2026; average shown.</t>
  </si>
  <si>
    <t>As a reality check, this study surveyed 20k clinical trials, 500 for Amgen and found it had a 22% success rate (2x other big pharma) https://www.sciencedirect.com/science/article/pii/S1359644625000042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</si>
</sst>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&quot;$&quot;#.0&quot;B&quot;"/>
    <numFmt numFmtId="165" formatCode="&quot;$&quot;0.0&quot;B&quot;"/>
    <numFmt numFmtId="166" formatCode="&quot;$&quot;0.00&quot;B&quot;"/>
  </numFmts>
  <fonts count="2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theme="1"/>
      <name val="EB Garamond Regular Roman"/>
    </font>
    <font>
      <sz val="12"/>
      <color theme="0"/>
      <name val="EB Garamond Regular Roman"/>
    </font>
    <font>
      <b/>
      <sz val="12"/>
      <color theme="0"/>
      <name val="EB Garamond Regular Roman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8">
    <xf numFmtId="0" fontId="0" fillId="0" borderId="0" xfId="0"/>
    <xf numFmtId="0" fontId="16" fillId="0" borderId="0" xfId="0" applyFont="1"/>
    <xf numFmtId="0" fontId="18" fillId="0" borderId="0" xfId="43"/>
    <xf numFmtId="9" fontId="0" fillId="0" borderId="0" xfId="1" applyFont="1"/>
    <xf numFmtId="14" fontId="0" fillId="0" borderId="0" xfId="0" applyNumberFormat="1"/>
    <xf numFmtId="0" fontId="0" fillId="0" borderId="10" xfId="0" applyBorder="1"/>
    <xf numFmtId="0" fontId="19" fillId="0" borderId="0" xfId="0" applyFont="1"/>
    <xf numFmtId="14" fontId="19" fillId="0" borderId="0" xfId="0" applyNumberFormat="1" applyFont="1"/>
    <xf numFmtId="0" fontId="20" fillId="0" borderId="11" xfId="0" applyFont="1" applyBorder="1" applyAlignment="1">
      <alignment horizontal="center" vertical="top"/>
    </xf>
    <xf numFmtId="0" fontId="20" fillId="0" borderId="12" xfId="0" applyFont="1" applyBorder="1" applyAlignment="1">
      <alignment horizontal="center" vertical="top"/>
    </xf>
    <xf numFmtId="0" fontId="21" fillId="0" borderId="0" xfId="0" applyFont="1"/>
    <xf numFmtId="0" fontId="22" fillId="0" borderId="11" xfId="0" applyFont="1" applyBorder="1" applyAlignment="1">
      <alignment horizontal="center" vertical="top"/>
    </xf>
    <xf numFmtId="0" fontId="22" fillId="0" borderId="12" xfId="0" applyFont="1" applyBorder="1" applyAlignment="1">
      <alignment horizontal="center" vertical="top"/>
    </xf>
    <xf numFmtId="0" fontId="23" fillId="0" borderId="11" xfId="0" applyFont="1" applyBorder="1" applyAlignment="1">
      <alignment horizontal="center" vertical="top"/>
    </xf>
    <xf numFmtId="0" fontId="24" fillId="0" borderId="0" xfId="0" applyFont="1"/>
    <xf numFmtId="9" fontId="19" fillId="0" borderId="0" xfId="1" applyFont="1"/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0" fontId="0" fillId="0" borderId="13" xfId="0" applyBorder="1"/>
    <xf numFmtId="0" fontId="16" fillId="0" borderId="13" xfId="0" applyFont="1" applyBorder="1"/>
    <xf numFmtId="0" fontId="18" fillId="0" borderId="13" xfId="43" applyBorder="1"/>
    <xf numFmtId="165" fontId="0" fillId="0" borderId="13" xfId="0" applyNumberFormat="1" applyBorder="1"/>
    <xf numFmtId="0" fontId="21" fillId="0" borderId="13" xfId="0" applyFont="1" applyBorder="1"/>
    <xf numFmtId="0" fontId="19" fillId="0" borderId="13" xfId="0" applyFont="1" applyBorder="1"/>
    <xf numFmtId="0" fontId="20" fillId="0" borderId="10" xfId="0" applyFont="1" applyBorder="1" applyAlignment="1">
      <alignment horizontal="center" vertical="top"/>
    </xf>
    <xf numFmtId="0" fontId="0" fillId="0" borderId="0" xfId="0" applyAlignment="1">
      <alignment horizontal="fill"/>
    </xf>
    <xf numFmtId="165" fontId="19" fillId="0" borderId="0" xfId="0" applyNumberFormat="1" applyFont="1"/>
    <xf numFmtId="165" fontId="19" fillId="0" borderId="13" xfId="0" applyNumberFormat="1" applyFont="1" applyBorder="1"/>
    <xf numFmtId="9" fontId="21" fillId="0" borderId="0" xfId="0" applyNumberFormat="1" applyFont="1"/>
    <xf numFmtId="9" fontId="19" fillId="0" borderId="0" xfId="0" applyNumberFormat="1" applyFont="1"/>
    <xf numFmtId="0" fontId="25" fillId="0" borderId="0" xfId="0" applyFont="1"/>
    <xf numFmtId="9" fontId="25" fillId="0" borderId="0" xfId="0" applyNumberFormat="1" applyFont="1"/>
    <xf numFmtId="166" fontId="25" fillId="0" borderId="0" xfId="0" applyNumberFormat="1" applyFont="1"/>
    <xf numFmtId="0" fontId="25" fillId="0" borderId="13" xfId="0" applyFont="1" applyBorder="1"/>
    <xf numFmtId="9" fontId="25" fillId="0" borderId="13" xfId="0" applyNumberFormat="1" applyFont="1" applyBorder="1"/>
    <xf numFmtId="166" fontId="25" fillId="0" borderId="13" xfId="0" applyNumberFormat="1" applyFont="1" applyBorder="1"/>
    <xf numFmtId="0" fontId="25" fillId="0" borderId="0" xfId="0" applyFont="1" applyAlignment="1">
      <alignment vertical="center"/>
    </xf>
    <xf numFmtId="0" fontId="26" fillId="33" borderId="0" xfId="0" applyFont="1" applyFill="1"/>
    <xf numFmtId="0" fontId="27" fillId="33" borderId="0" xfId="0" applyFont="1" applyFill="1" applyAlignment="1">
      <alignment horizontal="center" vertical="center" wrapText="1"/>
    </xf>
    <xf numFmtId="9" fontId="25" fillId="0" borderId="0" xfId="0" applyNumberFormat="1" applyFont="1" applyAlignment="1">
      <alignment horizontal="right"/>
    </xf>
    <xf numFmtId="17" fontId="0" fillId="0" borderId="0" xfId="0" applyNumberFormat="1"/>
    <xf numFmtId="6" fontId="16" fillId="0" borderId="0" xfId="0" applyNumberFormat="1" applyFont="1"/>
    <xf numFmtId="0" fontId="0" fillId="0" borderId="0" xfId="0" applyAlignment="1">
      <alignment horizontal="left"/>
    </xf>
    <xf numFmtId="165" fontId="25" fillId="0" borderId="0" xfId="0" applyNumberFormat="1" applyFont="1"/>
    <xf numFmtId="165" fontId="25" fillId="0" borderId="13" xfId="0" applyNumberFormat="1" applyFont="1" applyBorder="1"/>
    <xf numFmtId="0" fontId="25" fillId="0" borderId="0" xfId="0" applyFont="1" applyAlignment="1">
      <alignment horizontal="center" vertical="center"/>
    </xf>
    <xf numFmtId="0" fontId="25" fillId="0" borderId="13" xfId="0" applyFont="1" applyBorder="1" applyAlignment="1">
      <alignment horizontal="center" vertical="center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3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EEE9AC"/>
      <color rgb="FFFAE10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clinicaltrials.gov/?utm_source=chatgpt.com" TargetMode="External"/><Relationship Id="rId13" Type="http://schemas.openxmlformats.org/officeDocument/2006/relationships/hyperlink" Target="https://clinicaltrials.gov/study/NCT02216890?utm_source=chatgpt.com" TargetMode="External"/><Relationship Id="rId18" Type="http://schemas.openxmlformats.org/officeDocument/2006/relationships/hyperlink" Target="https://www.clinicaltrials.gov/study/NCT02954796?utm_source=chatgpt.com" TargetMode="External"/><Relationship Id="rId26" Type="http://schemas.openxmlformats.org/officeDocument/2006/relationships/hyperlink" Target="https://clinicaltrials.gov/study/NCT04389632?utm_source=chatgpt.com" TargetMode="External"/><Relationship Id="rId3" Type="http://schemas.openxmlformats.org/officeDocument/2006/relationships/hyperlink" Target="https://clinicaltrials.gov/study/NCT03424473?rank=4&amp;term=ONT-380&amp;viewType=Table&amp;utm_source=chatgpt.com" TargetMode="External"/><Relationship Id="rId21" Type="http://schemas.openxmlformats.org/officeDocument/2006/relationships/hyperlink" Target="https://clinicaltrials.gov/study/NCT01166490?utm_source=chatgpt.com" TargetMode="External"/><Relationship Id="rId7" Type="http://schemas.openxmlformats.org/officeDocument/2006/relationships/hyperlink" Target="https://pmc.ncbi.nlm.nih.gov/articles/PMC2864394/?utm_source=chatgpt.com" TargetMode="External"/><Relationship Id="rId12" Type="http://schemas.openxmlformats.org/officeDocument/2006/relationships/hyperlink" Target="https://www.adcreview.com/vorsetuzumab-mafodotin-sgn-75-clinical-trials/?utm_source=chatgpt.com" TargetMode="External"/><Relationship Id="rId17" Type="http://schemas.openxmlformats.org/officeDocument/2006/relationships/hyperlink" Target="https://ckb-core.genomenon.com/clinicalTrial/show?nctId=NCT02848248&amp;utm_source=chatgpt.com" TargetMode="External"/><Relationship Id="rId25" Type="http://schemas.openxmlformats.org/officeDocument/2006/relationships/hyperlink" Target="https://clin.larvol.com/trial-detail/NCT04254107?utm_source=chatgpt.com" TargetMode="External"/><Relationship Id="rId2" Type="http://schemas.openxmlformats.org/officeDocument/2006/relationships/hyperlink" Target="https://www.clinicaltrials.gov/study/NCT03219333?rank=1.&amp;term=NCT03219333&amp;utm_source=chatgpt.com" TargetMode="External"/><Relationship Id="rId16" Type="http://schemas.openxmlformats.org/officeDocument/2006/relationships/hyperlink" Target="https://pubmed.ncbi.nlm.nih.gov/29196412/?utm_source=chatgpt.com" TargetMode="External"/><Relationship Id="rId20" Type="http://schemas.openxmlformats.org/officeDocument/2006/relationships/hyperlink" Target="https://clinicaltrials.gov/study/NCT01969643?utm_source=chatgpt.com" TargetMode="External"/><Relationship Id="rId1" Type="http://schemas.openxmlformats.org/officeDocument/2006/relationships/hyperlink" Target="https://pubmed.ncbi.nlm.nih.gov/22003070/?utm_source=chatgpt.com" TargetMode="External"/><Relationship Id="rId6" Type="http://schemas.openxmlformats.org/officeDocument/2006/relationships/hyperlink" Target="https://pmc.ncbi.nlm.nih.gov/articles/PMC8164963/?utm_source=chatgpt.com" TargetMode="External"/><Relationship Id="rId11" Type="http://schemas.openxmlformats.org/officeDocument/2006/relationships/hyperlink" Target="https://pubmed.ncbi.nlm.nih.gov/10080588/?utm_source=chatgpt.com" TargetMode="External"/><Relationship Id="rId24" Type="http://schemas.openxmlformats.org/officeDocument/2006/relationships/hyperlink" Target="https://www.clinicaltrials.gov/study/NCT03582033?rank=6&amp;term=Seagen&amp;utm_source=chatgpt.com" TargetMode="External"/><Relationship Id="rId5" Type="http://schemas.openxmlformats.org/officeDocument/2006/relationships/hyperlink" Target="https://clinicaltrials.gov/study/NCT01983501?utm_source=chatgpt.com" TargetMode="External"/><Relationship Id="rId15" Type="http://schemas.openxmlformats.org/officeDocument/2006/relationships/hyperlink" Target="https://trial.medpath.com/clinical-trial/c017ce430e1ee7e1/nct02702141-phase-1-study-sgn-cd19b-b-cell-lymphoma?utm_source=chatgpt.com" TargetMode="External"/><Relationship Id="rId23" Type="http://schemas.openxmlformats.org/officeDocument/2006/relationships/hyperlink" Target="https://pubmed.ncbi.nlm.nih.gov/37385724/?utm_source=chatgpt.com" TargetMode="External"/><Relationship Id="rId28" Type="http://schemas.openxmlformats.org/officeDocument/2006/relationships/hyperlink" Target="https://br.advfn.com/bolsa-de-valores/nasdaq/SGEN/share-news/27570304/seattle-genetics-initiates-sgn-70-phase-i-clinical-trial?utm_source=chatgpt.com" TargetMode="External"/><Relationship Id="rId10" Type="http://schemas.openxmlformats.org/officeDocument/2006/relationships/hyperlink" Target="https://pubmed.ncbi.nlm.nih.gov/10829049/?utm_source=chatgpt.com" TargetMode="External"/><Relationship Id="rId19" Type="http://schemas.openxmlformats.org/officeDocument/2006/relationships/hyperlink" Target="https://www.clinicaltrials.gov/study/NCT03379584?rank=8&amp;term=Seagen&amp;utm_source=chatgpt.com" TargetMode="External"/><Relationship Id="rId4" Type="http://schemas.openxmlformats.org/officeDocument/2006/relationships/hyperlink" Target="https://pubmed.ncbi.nlm.nih.gov/32461105/?utm_source=chatgpt.com" TargetMode="External"/><Relationship Id="rId9" Type="http://schemas.openxmlformats.org/officeDocument/2006/relationships/hyperlink" Target="https://clinicaltrials.gov/study/NCT00079755?utm_source=chatgpt.com" TargetMode="External"/><Relationship Id="rId14" Type="http://schemas.openxmlformats.org/officeDocument/2006/relationships/hyperlink" Target="https://clinicaltrials.gov/study/NCT01786135?utm_source=chatgpt.com" TargetMode="External"/><Relationship Id="rId22" Type="http://schemas.openxmlformats.org/officeDocument/2006/relationships/hyperlink" Target="https://www.clinicaltrials.gov/study/NCT01963052?utm_source=chatgpt.com" TargetMode="External"/><Relationship Id="rId27" Type="http://schemas.openxmlformats.org/officeDocument/2006/relationships/hyperlink" Target="https://pubmed.ncbi.nlm.nih.gov/3428825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2B333-A581-4D47-B7AC-3177280F13C6}">
  <dimension ref="A1:L17"/>
  <sheetViews>
    <sheetView tabSelected="1" zoomScale="190" workbookViewId="0">
      <selection activeCell="G4" sqref="G4"/>
    </sheetView>
  </sheetViews>
  <sheetFormatPr baseColWidth="10" defaultRowHeight="16"/>
  <cols>
    <col min="1" max="1" width="17.5" customWidth="1"/>
    <col min="3" max="3" width="12.6640625" customWidth="1"/>
    <col min="5" max="5" width="13.5" customWidth="1"/>
    <col min="6" max="8" width="19.83203125" customWidth="1"/>
  </cols>
  <sheetData>
    <row r="1" spans="1:12" ht="42" customHeight="1">
      <c r="A1" s="38"/>
      <c r="B1" s="39" t="s">
        <v>1417</v>
      </c>
      <c r="C1" s="39" t="s">
        <v>1618</v>
      </c>
      <c r="D1" s="39" t="s">
        <v>1707</v>
      </c>
      <c r="E1" s="39" t="s">
        <v>1706</v>
      </c>
      <c r="H1" s="31" t="s">
        <v>1422</v>
      </c>
      <c r="I1" s="31" t="s">
        <v>1418</v>
      </c>
      <c r="J1" s="31" t="s">
        <v>1419</v>
      </c>
      <c r="L1" t="s">
        <v>1705</v>
      </c>
    </row>
    <row r="2" spans="1:12" ht="17">
      <c r="A2" s="46" t="s">
        <v>1403</v>
      </c>
      <c r="B2" s="31" t="s">
        <v>1404</v>
      </c>
      <c r="C2" s="31">
        <v>51</v>
      </c>
      <c r="D2" s="32">
        <v>0.51</v>
      </c>
      <c r="E2" s="44">
        <v>2.41</v>
      </c>
      <c r="H2" s="31">
        <v>26</v>
      </c>
      <c r="I2" s="33">
        <v>2.17</v>
      </c>
      <c r="J2" s="33">
        <v>3.86</v>
      </c>
    </row>
    <row r="3" spans="1:12" ht="17">
      <c r="A3" s="46"/>
      <c r="B3" s="31" t="s">
        <v>2637</v>
      </c>
      <c r="C3" s="31">
        <v>119</v>
      </c>
      <c r="D3" s="32">
        <v>0.32</v>
      </c>
      <c r="E3" s="44">
        <v>1.9</v>
      </c>
      <c r="G3" t="s">
        <v>2775</v>
      </c>
      <c r="H3" s="31">
        <v>28</v>
      </c>
      <c r="I3" s="33"/>
      <c r="J3" s="33"/>
    </row>
    <row r="4" spans="1:12" ht="17">
      <c r="A4" s="46"/>
      <c r="B4" s="31" t="s">
        <v>1405</v>
      </c>
      <c r="C4" s="31">
        <v>25</v>
      </c>
      <c r="D4" s="32">
        <v>0.48</v>
      </c>
      <c r="E4" s="44">
        <v>3.22</v>
      </c>
      <c r="H4" s="31">
        <v>12</v>
      </c>
      <c r="I4" s="33">
        <v>2.5099999999999998</v>
      </c>
      <c r="J4" s="33">
        <v>6.22</v>
      </c>
    </row>
    <row r="5" spans="1:12" ht="17">
      <c r="A5" s="46"/>
      <c r="B5" s="31" t="s">
        <v>1407</v>
      </c>
      <c r="C5" s="31">
        <v>26</v>
      </c>
      <c r="D5" s="32">
        <v>0.15</v>
      </c>
      <c r="E5" s="44">
        <v>2.65</v>
      </c>
      <c r="H5" s="31">
        <v>4</v>
      </c>
      <c r="I5" s="33">
        <v>0.81699999999999995</v>
      </c>
      <c r="J5" s="33">
        <v>3.1659999999999999</v>
      </c>
    </row>
    <row r="6" spans="1:12" ht="17">
      <c r="A6" s="46"/>
      <c r="B6" s="31" t="s">
        <v>1406</v>
      </c>
      <c r="C6" s="31">
        <v>16</v>
      </c>
      <c r="D6" s="32">
        <v>0.19</v>
      </c>
      <c r="E6" s="44">
        <v>18.399999999999999</v>
      </c>
      <c r="H6" s="31">
        <v>3</v>
      </c>
      <c r="I6" s="33">
        <v>18.399999999999999</v>
      </c>
      <c r="J6" s="33">
        <v>18.399999999999999</v>
      </c>
    </row>
    <row r="7" spans="1:12" ht="17">
      <c r="A7" s="46"/>
      <c r="B7" s="31" t="s">
        <v>2638</v>
      </c>
      <c r="C7" s="31">
        <v>56</v>
      </c>
      <c r="D7" s="32">
        <v>0.41</v>
      </c>
      <c r="E7" s="44">
        <v>1.91</v>
      </c>
      <c r="H7" s="31">
        <v>22</v>
      </c>
    </row>
    <row r="8" spans="1:12" ht="17">
      <c r="A8" s="46"/>
      <c r="B8" s="31" t="s">
        <v>1408</v>
      </c>
      <c r="C8" s="31">
        <v>13</v>
      </c>
      <c r="D8" s="32">
        <v>0.46</v>
      </c>
      <c r="E8" s="44">
        <v>2</v>
      </c>
      <c r="H8" s="31">
        <v>6</v>
      </c>
      <c r="I8" s="33">
        <v>0.5</v>
      </c>
      <c r="J8" s="33">
        <v>2</v>
      </c>
    </row>
    <row r="9" spans="1:12" ht="17">
      <c r="A9" s="46"/>
      <c r="B9" s="31" t="s">
        <v>1409</v>
      </c>
      <c r="C9" s="31">
        <v>34</v>
      </c>
      <c r="D9" s="32">
        <v>0.26</v>
      </c>
      <c r="E9" s="44">
        <v>0.55700000000000005</v>
      </c>
      <c r="H9" s="31">
        <v>9</v>
      </c>
      <c r="I9" s="33">
        <v>0.45300000000000001</v>
      </c>
      <c r="J9" s="33">
        <v>0.438</v>
      </c>
    </row>
    <row r="10" spans="1:12" ht="17">
      <c r="A10" s="46" t="s">
        <v>1415</v>
      </c>
      <c r="B10" s="31" t="s">
        <v>1619</v>
      </c>
      <c r="C10" s="31">
        <v>29</v>
      </c>
      <c r="D10" s="32">
        <v>0.31</v>
      </c>
      <c r="E10" s="44">
        <v>3.79</v>
      </c>
      <c r="H10" s="31">
        <v>9</v>
      </c>
      <c r="I10" s="33">
        <v>3.27</v>
      </c>
      <c r="J10" s="33">
        <v>5.75</v>
      </c>
    </row>
    <row r="11" spans="1:12" ht="17">
      <c r="A11" s="46"/>
      <c r="B11" s="31" t="s">
        <v>1410</v>
      </c>
      <c r="C11" s="31">
        <v>23</v>
      </c>
      <c r="D11" s="32">
        <v>0.17</v>
      </c>
      <c r="E11" s="44">
        <v>2</v>
      </c>
      <c r="H11" s="31">
        <v>4</v>
      </c>
      <c r="I11" s="33"/>
      <c r="J11" s="33"/>
    </row>
    <row r="12" spans="1:12" ht="17">
      <c r="A12" s="46"/>
      <c r="B12" s="31" t="s">
        <v>2604</v>
      </c>
      <c r="C12" s="31">
        <v>7</v>
      </c>
      <c r="D12" s="32">
        <v>0.56999999999999995</v>
      </c>
      <c r="E12" s="44">
        <v>0.77</v>
      </c>
      <c r="H12" s="31">
        <v>4</v>
      </c>
      <c r="I12" s="33">
        <v>2</v>
      </c>
      <c r="J12" s="33">
        <v>2</v>
      </c>
    </row>
    <row r="13" spans="1:12" ht="17">
      <c r="A13" s="46" t="s">
        <v>1416</v>
      </c>
      <c r="B13" s="31" t="s">
        <v>1411</v>
      </c>
      <c r="C13" s="31">
        <v>12</v>
      </c>
      <c r="D13" s="32">
        <v>0.33</v>
      </c>
      <c r="E13" s="44">
        <v>1.1000000000000001</v>
      </c>
      <c r="H13" s="31">
        <v>4</v>
      </c>
      <c r="I13" s="33">
        <v>0.33</v>
      </c>
      <c r="J13" s="33">
        <v>1.1000000000000001</v>
      </c>
    </row>
    <row r="14" spans="1:12" ht="17">
      <c r="A14" s="46"/>
      <c r="B14" s="31" t="s">
        <v>1412</v>
      </c>
      <c r="C14" s="31">
        <v>8</v>
      </c>
      <c r="D14" s="32">
        <v>0.125</v>
      </c>
      <c r="E14" s="44">
        <v>5</v>
      </c>
      <c r="H14" s="31">
        <v>1</v>
      </c>
      <c r="I14" s="33">
        <v>6.2E-2</v>
      </c>
      <c r="J14" s="33">
        <v>5</v>
      </c>
    </row>
    <row r="15" spans="1:12" ht="17">
      <c r="A15" s="46"/>
      <c r="B15" s="31" t="s">
        <v>1413</v>
      </c>
      <c r="C15" s="31">
        <v>7</v>
      </c>
      <c r="D15" s="32">
        <v>0.28000000000000003</v>
      </c>
      <c r="E15" s="44">
        <v>3.9</v>
      </c>
      <c r="H15" s="31">
        <v>2</v>
      </c>
      <c r="I15" s="33">
        <v>0.83</v>
      </c>
      <c r="J15" s="33">
        <v>3.9</v>
      </c>
    </row>
    <row r="16" spans="1:12" ht="17">
      <c r="A16" s="47"/>
      <c r="B16" s="34" t="s">
        <v>1414</v>
      </c>
      <c r="C16" s="34">
        <v>11</v>
      </c>
      <c r="D16" s="35">
        <v>0.27</v>
      </c>
      <c r="E16" s="45">
        <v>0.08</v>
      </c>
      <c r="H16" s="34">
        <v>4</v>
      </c>
      <c r="I16" s="36">
        <v>0.02</v>
      </c>
      <c r="J16" s="36">
        <v>0.92</v>
      </c>
    </row>
    <row r="17" spans="1:10" ht="17">
      <c r="A17" s="37"/>
      <c r="B17" s="31"/>
      <c r="C17" s="31">
        <f>SUM(C2:C16)</f>
        <v>437</v>
      </c>
      <c r="D17" s="40" t="s">
        <v>2742</v>
      </c>
      <c r="E17" s="44">
        <f>MEDIAN(E2:E16)</f>
        <v>2</v>
      </c>
      <c r="H17" s="31">
        <f>SUM(H2:H16)</f>
        <v>138</v>
      </c>
      <c r="I17" s="33">
        <f>MEDIAN(I2:I16)</f>
        <v>0.8234999999999999</v>
      </c>
      <c r="J17" s="33">
        <f>MEDIAN(J2:J16)</f>
        <v>3.5129999999999999</v>
      </c>
    </row>
  </sheetData>
  <mergeCells count="3">
    <mergeCell ref="A13:A16"/>
    <mergeCell ref="A10:A12"/>
    <mergeCell ref="A2:A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6EF28-F2EA-9440-9CF2-08E8CAFAD316}">
  <sheetPr>
    <tabColor theme="9" tint="0.59999389629810485"/>
  </sheetPr>
  <dimension ref="A1:P63"/>
  <sheetViews>
    <sheetView workbookViewId="0">
      <selection activeCell="J56" sqref="J56"/>
    </sheetView>
  </sheetViews>
  <sheetFormatPr baseColWidth="10" defaultRowHeight="16"/>
  <cols>
    <col min="1" max="2" width="15.6640625" customWidth="1"/>
    <col min="3" max="5" width="10.83203125" customWidth="1"/>
    <col min="6" max="15" width="11.83203125" customWidth="1"/>
  </cols>
  <sheetData>
    <row r="1" spans="1:16">
      <c r="A1" t="s">
        <v>0</v>
      </c>
      <c r="B1" t="s">
        <v>1198</v>
      </c>
      <c r="C1" t="s">
        <v>1199</v>
      </c>
      <c r="D1" t="s">
        <v>1200</v>
      </c>
      <c r="E1" t="s">
        <v>1616</v>
      </c>
      <c r="F1" t="s">
        <v>1144</v>
      </c>
      <c r="G1" t="s">
        <v>1201</v>
      </c>
      <c r="H1" t="s">
        <v>1202</v>
      </c>
      <c r="I1" t="s">
        <v>1397</v>
      </c>
      <c r="J1" t="s">
        <v>1369</v>
      </c>
      <c r="K1" t="s">
        <v>1398</v>
      </c>
      <c r="L1" t="s">
        <v>1203</v>
      </c>
      <c r="M1" t="s">
        <v>1204</v>
      </c>
      <c r="N1" t="s">
        <v>1205</v>
      </c>
      <c r="O1" t="s">
        <v>1206</v>
      </c>
      <c r="P1" t="s">
        <v>1615</v>
      </c>
    </row>
    <row r="2" spans="1:16">
      <c r="A2" t="s">
        <v>970</v>
      </c>
      <c r="B2" t="s">
        <v>1207</v>
      </c>
      <c r="C2" t="s">
        <v>10</v>
      </c>
      <c r="D2">
        <v>1987</v>
      </c>
      <c r="F2" t="s">
        <v>1208</v>
      </c>
      <c r="G2" t="s">
        <v>1209</v>
      </c>
      <c r="I2" s="17">
        <v>0.59499999999999997</v>
      </c>
      <c r="J2" s="17"/>
      <c r="K2" s="17">
        <f>MAX(J2,I2)</f>
        <v>0.59499999999999997</v>
      </c>
      <c r="L2" t="s">
        <v>1394</v>
      </c>
      <c r="M2" t="s">
        <v>1586</v>
      </c>
      <c r="P2" t="s">
        <v>1612</v>
      </c>
    </row>
    <row r="3" spans="1:16">
      <c r="A3" t="s">
        <v>982</v>
      </c>
      <c r="B3" t="s">
        <v>983</v>
      </c>
      <c r="C3" t="s">
        <v>10</v>
      </c>
      <c r="D3" t="s">
        <v>1210</v>
      </c>
      <c r="F3" t="s">
        <v>1211</v>
      </c>
      <c r="G3" t="s">
        <v>1445</v>
      </c>
      <c r="I3" s="17">
        <v>0.443</v>
      </c>
      <c r="J3" s="17"/>
      <c r="K3" s="17">
        <f t="shared" ref="K3:K7" si="0">MAX(J3,I3)</f>
        <v>0.443</v>
      </c>
      <c r="L3" t="s">
        <v>1395</v>
      </c>
      <c r="M3" t="s">
        <v>1586</v>
      </c>
    </row>
    <row r="4" spans="1:16">
      <c r="A4" t="s">
        <v>972</v>
      </c>
      <c r="B4" t="s">
        <v>1212</v>
      </c>
      <c r="C4" t="s">
        <v>10</v>
      </c>
      <c r="D4">
        <v>1993</v>
      </c>
      <c r="F4" t="s">
        <v>1587</v>
      </c>
      <c r="G4" t="s">
        <v>1213</v>
      </c>
      <c r="I4" s="17">
        <v>0.22700000000000001</v>
      </c>
      <c r="J4" s="17"/>
      <c r="K4" s="17">
        <f t="shared" si="0"/>
        <v>0.22700000000000001</v>
      </c>
      <c r="L4" t="s">
        <v>1214</v>
      </c>
      <c r="M4" t="s">
        <v>1215</v>
      </c>
      <c r="P4" t="s">
        <v>1613</v>
      </c>
    </row>
    <row r="5" spans="1:16">
      <c r="A5" t="s">
        <v>979</v>
      </c>
      <c r="B5" t="s">
        <v>980</v>
      </c>
      <c r="C5" t="s">
        <v>10</v>
      </c>
      <c r="D5">
        <v>1985</v>
      </c>
      <c r="F5" t="s">
        <v>1216</v>
      </c>
      <c r="G5" t="s">
        <v>1446</v>
      </c>
      <c r="I5" s="17">
        <v>0.47099999999999997</v>
      </c>
      <c r="J5" s="17"/>
      <c r="K5" s="17">
        <f t="shared" si="0"/>
        <v>0.47099999999999997</v>
      </c>
      <c r="P5" t="s">
        <v>1611</v>
      </c>
    </row>
    <row r="6" spans="1:16">
      <c r="A6" t="s">
        <v>981</v>
      </c>
      <c r="B6" t="s">
        <v>1217</v>
      </c>
      <c r="C6" t="s">
        <v>10</v>
      </c>
      <c r="D6" t="s">
        <v>1218</v>
      </c>
      <c r="F6" t="s">
        <v>1219</v>
      </c>
      <c r="G6" t="s">
        <v>1220</v>
      </c>
      <c r="I6" s="17">
        <v>0.42399999999999999</v>
      </c>
      <c r="J6" s="17"/>
      <c r="K6" s="17">
        <f t="shared" si="0"/>
        <v>0.42399999999999999</v>
      </c>
      <c r="L6" t="s">
        <v>1221</v>
      </c>
      <c r="M6" t="s">
        <v>1222</v>
      </c>
      <c r="P6" t="s">
        <v>1613</v>
      </c>
    </row>
    <row r="7" spans="1:16">
      <c r="A7" t="s">
        <v>973</v>
      </c>
      <c r="B7" t="s">
        <v>1223</v>
      </c>
      <c r="C7" t="s">
        <v>974</v>
      </c>
      <c r="D7">
        <v>2003</v>
      </c>
      <c r="F7" t="s">
        <v>1224</v>
      </c>
      <c r="G7" t="s">
        <v>1447</v>
      </c>
      <c r="I7" s="17">
        <v>0.16200000000000001</v>
      </c>
      <c r="J7" s="17"/>
      <c r="K7" s="17">
        <f t="shared" si="0"/>
        <v>0.16200000000000001</v>
      </c>
    </row>
    <row r="8" spans="1:16">
      <c r="A8" t="s">
        <v>978</v>
      </c>
      <c r="B8" t="s">
        <v>1225</v>
      </c>
      <c r="C8" t="s">
        <v>10</v>
      </c>
      <c r="D8">
        <v>1997</v>
      </c>
      <c r="F8" t="s">
        <v>1448</v>
      </c>
      <c r="G8" t="s">
        <v>1449</v>
      </c>
      <c r="I8" s="17">
        <v>3.88</v>
      </c>
      <c r="J8" s="17"/>
      <c r="K8" s="17">
        <f t="shared" ref="K8:K13" si="1">MAX(J8,I8)</f>
        <v>3.88</v>
      </c>
      <c r="L8" t="s">
        <v>1226</v>
      </c>
      <c r="M8" t="s">
        <v>1227</v>
      </c>
      <c r="P8" t="s">
        <v>1614</v>
      </c>
    </row>
    <row r="9" spans="1:16">
      <c r="A9" t="s">
        <v>984</v>
      </c>
      <c r="B9" t="s">
        <v>1228</v>
      </c>
      <c r="C9" t="s">
        <v>10</v>
      </c>
      <c r="D9">
        <v>1998</v>
      </c>
      <c r="F9" t="s">
        <v>1229</v>
      </c>
      <c r="G9" t="s">
        <v>1450</v>
      </c>
      <c r="I9" s="17">
        <v>2.1</v>
      </c>
      <c r="J9" s="17"/>
      <c r="K9" s="17">
        <f t="shared" si="1"/>
        <v>2.1</v>
      </c>
      <c r="L9" t="s">
        <v>1230</v>
      </c>
      <c r="M9" t="s">
        <v>1231</v>
      </c>
      <c r="P9" t="s">
        <v>1614</v>
      </c>
    </row>
    <row r="10" spans="1:16">
      <c r="A10" t="s">
        <v>971</v>
      </c>
      <c r="B10" t="s">
        <v>1232</v>
      </c>
      <c r="C10" t="s">
        <v>10</v>
      </c>
      <c r="D10">
        <v>2004</v>
      </c>
      <c r="F10" t="s">
        <v>1451</v>
      </c>
      <c r="G10" t="s">
        <v>1452</v>
      </c>
      <c r="I10" s="17">
        <v>4.0359999999999996</v>
      </c>
      <c r="J10" s="17"/>
      <c r="K10" s="17">
        <f t="shared" si="1"/>
        <v>4.0359999999999996</v>
      </c>
      <c r="L10" t="s">
        <v>1233</v>
      </c>
      <c r="M10" t="s">
        <v>1453</v>
      </c>
      <c r="P10" t="s">
        <v>1614</v>
      </c>
    </row>
    <row r="11" spans="1:16">
      <c r="A11" t="s">
        <v>976</v>
      </c>
      <c r="B11" t="s">
        <v>1234</v>
      </c>
      <c r="C11" t="s">
        <v>10</v>
      </c>
      <c r="D11">
        <v>2003</v>
      </c>
      <c r="F11" t="s">
        <v>1235</v>
      </c>
      <c r="G11" t="s">
        <v>1454</v>
      </c>
      <c r="I11" s="17">
        <v>4</v>
      </c>
      <c r="J11" s="17"/>
      <c r="K11" s="17">
        <f t="shared" si="1"/>
        <v>4</v>
      </c>
      <c r="L11" t="s">
        <v>1396</v>
      </c>
      <c r="M11" t="s">
        <v>1236</v>
      </c>
      <c r="P11" t="s">
        <v>1614</v>
      </c>
    </row>
    <row r="12" spans="1:16">
      <c r="A12" t="s">
        <v>975</v>
      </c>
      <c r="B12" t="s">
        <v>1237</v>
      </c>
      <c r="C12" t="s">
        <v>10</v>
      </c>
      <c r="D12">
        <v>2004</v>
      </c>
      <c r="F12" t="s">
        <v>1238</v>
      </c>
      <c r="G12" t="s">
        <v>1239</v>
      </c>
      <c r="I12" s="17">
        <v>0.54</v>
      </c>
      <c r="J12" s="17"/>
      <c r="K12" s="17">
        <f t="shared" si="1"/>
        <v>0.54</v>
      </c>
      <c r="P12" t="s">
        <v>1614</v>
      </c>
    </row>
    <row r="13" spans="1:16">
      <c r="A13" t="s">
        <v>977</v>
      </c>
      <c r="B13" t="s">
        <v>1240</v>
      </c>
      <c r="C13" t="s">
        <v>10</v>
      </c>
      <c r="D13">
        <v>2006</v>
      </c>
      <c r="F13" t="s">
        <v>1241</v>
      </c>
      <c r="G13" t="s">
        <v>1455</v>
      </c>
      <c r="I13" s="17">
        <v>4.41</v>
      </c>
      <c r="J13" s="17"/>
      <c r="K13" s="17">
        <f t="shared" si="1"/>
        <v>4.41</v>
      </c>
      <c r="L13" t="s">
        <v>1242</v>
      </c>
      <c r="M13" t="s">
        <v>1243</v>
      </c>
      <c r="P13" t="s">
        <v>1614</v>
      </c>
    </row>
    <row r="14" spans="1:16">
      <c r="A14" t="s">
        <v>1244</v>
      </c>
      <c r="B14" t="s">
        <v>1245</v>
      </c>
      <c r="C14" t="s">
        <v>10</v>
      </c>
      <c r="D14">
        <v>2011</v>
      </c>
      <c r="F14" t="s">
        <v>1456</v>
      </c>
      <c r="G14" t="s">
        <v>1246</v>
      </c>
      <c r="I14" s="17">
        <v>0.46</v>
      </c>
      <c r="J14" s="17"/>
      <c r="K14" s="17"/>
    </row>
    <row r="15" spans="1:16">
      <c r="A15" t="s">
        <v>1011</v>
      </c>
      <c r="B15" t="s">
        <v>1247</v>
      </c>
      <c r="C15" t="s">
        <v>10</v>
      </c>
      <c r="D15">
        <v>2012</v>
      </c>
      <c r="F15" t="s">
        <v>1248</v>
      </c>
      <c r="G15" t="s">
        <v>1457</v>
      </c>
      <c r="I15" s="17">
        <f>4.1*1.24</f>
        <v>5.0839999999999996</v>
      </c>
      <c r="J15" s="17"/>
      <c r="K15" s="17"/>
    </row>
    <row r="16" spans="1:16">
      <c r="A16" t="s">
        <v>1018</v>
      </c>
      <c r="B16" t="s">
        <v>1458</v>
      </c>
      <c r="C16" t="s">
        <v>10</v>
      </c>
      <c r="D16" s="4">
        <v>40938</v>
      </c>
      <c r="E16" s="4"/>
      <c r="F16" t="s">
        <v>1249</v>
      </c>
      <c r="G16" t="s">
        <v>1250</v>
      </c>
      <c r="I16" s="17"/>
      <c r="J16" s="17"/>
      <c r="K16" s="17"/>
    </row>
    <row r="17" spans="1:15">
      <c r="A17" t="s">
        <v>1459</v>
      </c>
      <c r="B17" t="s">
        <v>1460</v>
      </c>
      <c r="C17" t="s">
        <v>10</v>
      </c>
      <c r="D17">
        <v>2013</v>
      </c>
      <c r="F17" t="s">
        <v>1251</v>
      </c>
      <c r="G17" t="s">
        <v>1252</v>
      </c>
      <c r="I17" s="17">
        <f>2.1*1.24</f>
        <v>2.6040000000000001</v>
      </c>
      <c r="J17" s="17"/>
      <c r="K17" s="17"/>
    </row>
    <row r="18" spans="1:15">
      <c r="A18" t="s">
        <v>995</v>
      </c>
      <c r="B18" t="s">
        <v>1461</v>
      </c>
      <c r="C18" t="s">
        <v>10</v>
      </c>
      <c r="D18" s="4">
        <v>42318</v>
      </c>
      <c r="E18" s="4"/>
      <c r="F18" t="s">
        <v>1462</v>
      </c>
      <c r="G18" t="s">
        <v>1253</v>
      </c>
      <c r="I18" s="17"/>
      <c r="J18" s="17">
        <v>0.8</v>
      </c>
      <c r="K18" s="17">
        <f t="shared" ref="K18:K19" si="2">MAX(J18,I18)</f>
        <v>0.8</v>
      </c>
      <c r="N18" t="s">
        <v>1588</v>
      </c>
      <c r="O18" t="s">
        <v>1254</v>
      </c>
    </row>
    <row r="19" spans="1:15">
      <c r="A19" t="s">
        <v>1255</v>
      </c>
      <c r="B19" t="s">
        <v>1256</v>
      </c>
      <c r="C19" t="s">
        <v>10</v>
      </c>
      <c r="D19">
        <v>2016</v>
      </c>
      <c r="F19" t="s">
        <v>1463</v>
      </c>
      <c r="G19" t="s">
        <v>1464</v>
      </c>
      <c r="I19" s="17">
        <f>3.77*1.24</f>
        <v>4.6748000000000003</v>
      </c>
      <c r="J19" s="17">
        <v>6</v>
      </c>
      <c r="K19" s="17">
        <f t="shared" si="2"/>
        <v>6</v>
      </c>
      <c r="N19" t="s">
        <v>1257</v>
      </c>
      <c r="O19" t="s">
        <v>1258</v>
      </c>
    </row>
    <row r="20" spans="1:15">
      <c r="A20" t="s">
        <v>1008</v>
      </c>
      <c r="B20" t="s">
        <v>1259</v>
      </c>
      <c r="C20" t="s">
        <v>10</v>
      </c>
      <c r="D20">
        <v>2013</v>
      </c>
      <c r="F20" t="s">
        <v>1260</v>
      </c>
      <c r="G20" t="s">
        <v>1465</v>
      </c>
      <c r="I20" s="17">
        <f>0.91*1.24</f>
        <v>1.1284000000000001</v>
      </c>
      <c r="J20" s="17"/>
      <c r="K20" s="17"/>
    </row>
    <row r="21" spans="1:15">
      <c r="A21" t="s">
        <v>1009</v>
      </c>
      <c r="B21" t="s">
        <v>1261</v>
      </c>
      <c r="C21" t="s">
        <v>10</v>
      </c>
      <c r="D21">
        <v>2017</v>
      </c>
      <c r="F21" t="s">
        <v>1262</v>
      </c>
      <c r="G21" t="s">
        <v>1449</v>
      </c>
      <c r="I21" s="17"/>
      <c r="J21" s="17">
        <v>4</v>
      </c>
      <c r="K21" s="17">
        <f t="shared" ref="K21:K24" si="3">MAX(J21,I21)</f>
        <v>4</v>
      </c>
      <c r="N21" t="s">
        <v>1263</v>
      </c>
      <c r="O21" t="s">
        <v>1264</v>
      </c>
    </row>
    <row r="22" spans="1:15">
      <c r="A22" t="s">
        <v>1265</v>
      </c>
      <c r="B22" t="s">
        <v>1266</v>
      </c>
      <c r="C22" t="s">
        <v>10</v>
      </c>
      <c r="D22">
        <v>2019</v>
      </c>
      <c r="F22" t="s">
        <v>1466</v>
      </c>
      <c r="G22" t="s">
        <v>1467</v>
      </c>
      <c r="I22" s="17">
        <v>1.4</v>
      </c>
      <c r="J22" s="17">
        <v>2.2000000000000002</v>
      </c>
      <c r="K22" s="17">
        <f t="shared" si="3"/>
        <v>2.2000000000000002</v>
      </c>
      <c r="L22" t="s">
        <v>1267</v>
      </c>
      <c r="M22" t="s">
        <v>1268</v>
      </c>
      <c r="N22" t="s">
        <v>1589</v>
      </c>
      <c r="O22" t="s">
        <v>1269</v>
      </c>
    </row>
    <row r="23" spans="1:15">
      <c r="A23" t="s">
        <v>1270</v>
      </c>
      <c r="B23" t="s">
        <v>1271</v>
      </c>
      <c r="C23" t="s">
        <v>10</v>
      </c>
      <c r="D23">
        <v>2020</v>
      </c>
      <c r="F23" t="s">
        <v>1272</v>
      </c>
      <c r="G23" t="s">
        <v>1273</v>
      </c>
      <c r="I23" s="17">
        <v>2</v>
      </c>
      <c r="J23" s="17">
        <v>2.5</v>
      </c>
      <c r="K23" s="17">
        <f t="shared" si="3"/>
        <v>2.5</v>
      </c>
      <c r="L23" t="s">
        <v>1274</v>
      </c>
      <c r="M23" t="s">
        <v>1275</v>
      </c>
      <c r="N23" t="s">
        <v>1276</v>
      </c>
      <c r="O23" t="s">
        <v>1277</v>
      </c>
    </row>
    <row r="24" spans="1:15">
      <c r="A24" t="s">
        <v>1278</v>
      </c>
      <c r="B24" t="s">
        <v>1279</v>
      </c>
      <c r="C24" t="s">
        <v>10</v>
      </c>
      <c r="D24">
        <v>2022</v>
      </c>
      <c r="F24" t="s">
        <v>1280</v>
      </c>
      <c r="G24" t="s">
        <v>1468</v>
      </c>
      <c r="I24" s="17">
        <v>4.8</v>
      </c>
      <c r="J24" s="17">
        <v>7.7</v>
      </c>
      <c r="K24" s="17">
        <f t="shared" si="3"/>
        <v>7.7</v>
      </c>
      <c r="L24" t="s">
        <v>1281</v>
      </c>
      <c r="M24" t="s">
        <v>1469</v>
      </c>
      <c r="N24" t="s">
        <v>1282</v>
      </c>
      <c r="O24" t="s">
        <v>1283</v>
      </c>
    </row>
    <row r="25" spans="1:15">
      <c r="A25" t="s">
        <v>1284</v>
      </c>
      <c r="B25" t="s">
        <v>1285</v>
      </c>
      <c r="C25" t="s">
        <v>10</v>
      </c>
      <c r="D25">
        <v>2022</v>
      </c>
      <c r="F25" t="s">
        <v>1286</v>
      </c>
      <c r="G25" t="s">
        <v>1470</v>
      </c>
      <c r="I25" s="17"/>
      <c r="J25" s="17"/>
      <c r="K25" s="17"/>
      <c r="N25" t="s">
        <v>1287</v>
      </c>
      <c r="O25" t="s">
        <v>1288</v>
      </c>
    </row>
    <row r="26" spans="1:15">
      <c r="A26" t="s">
        <v>1289</v>
      </c>
      <c r="B26" t="s">
        <v>1290</v>
      </c>
      <c r="C26" t="s">
        <v>10</v>
      </c>
      <c r="D26">
        <v>2023</v>
      </c>
      <c r="F26" t="s">
        <v>1291</v>
      </c>
      <c r="G26" t="s">
        <v>1292</v>
      </c>
      <c r="I26" s="17"/>
      <c r="J26" s="17"/>
      <c r="K26" s="17"/>
      <c r="N26" t="s">
        <v>1590</v>
      </c>
      <c r="O26" t="s">
        <v>1591</v>
      </c>
    </row>
    <row r="27" spans="1:15">
      <c r="A27" t="s">
        <v>1293</v>
      </c>
      <c r="B27" t="s">
        <v>1471</v>
      </c>
      <c r="C27" t="s">
        <v>10</v>
      </c>
      <c r="D27" t="s">
        <v>1294</v>
      </c>
      <c r="F27" t="s">
        <v>1592</v>
      </c>
      <c r="G27" t="s">
        <v>1472</v>
      </c>
      <c r="H27" t="s">
        <v>1295</v>
      </c>
      <c r="I27" s="17"/>
      <c r="J27" s="17"/>
      <c r="K27" s="17"/>
      <c r="N27" t="s">
        <v>1296</v>
      </c>
      <c r="O27" t="s">
        <v>1297</v>
      </c>
    </row>
    <row r="28" spans="1:15">
      <c r="A28" t="s">
        <v>1007</v>
      </c>
      <c r="B28" t="s">
        <v>1473</v>
      </c>
      <c r="C28" t="s">
        <v>1315</v>
      </c>
      <c r="D28" t="s">
        <v>1316</v>
      </c>
      <c r="F28" t="s">
        <v>1317</v>
      </c>
      <c r="G28" t="s">
        <v>1474</v>
      </c>
      <c r="I28" s="17"/>
      <c r="J28" s="17"/>
      <c r="K28" s="17"/>
    </row>
    <row r="29" spans="1:15">
      <c r="A29" t="s">
        <v>998</v>
      </c>
      <c r="B29" t="s">
        <v>1298</v>
      </c>
      <c r="C29" t="s">
        <v>72</v>
      </c>
      <c r="E29" t="s">
        <v>72</v>
      </c>
      <c r="F29" t="s">
        <v>1299</v>
      </c>
      <c r="G29" t="s">
        <v>1475</v>
      </c>
      <c r="H29" t="s">
        <v>1476</v>
      </c>
      <c r="I29" s="17"/>
      <c r="J29" s="17"/>
      <c r="K29" s="17"/>
    </row>
    <row r="30" spans="1:15">
      <c r="A30" t="s">
        <v>1300</v>
      </c>
      <c r="B30" t="s">
        <v>1012</v>
      </c>
      <c r="C30" t="s">
        <v>72</v>
      </c>
      <c r="E30" t="s">
        <v>72</v>
      </c>
      <c r="F30" t="s">
        <v>1301</v>
      </c>
      <c r="G30" t="s">
        <v>1302</v>
      </c>
      <c r="I30" s="17"/>
      <c r="J30" s="17"/>
      <c r="K30" s="17"/>
    </row>
    <row r="31" spans="1:15">
      <c r="A31" t="s">
        <v>1303</v>
      </c>
      <c r="B31" t="s">
        <v>1304</v>
      </c>
      <c r="C31" t="s">
        <v>72</v>
      </c>
      <c r="E31" t="s">
        <v>72</v>
      </c>
      <c r="F31" t="s">
        <v>1305</v>
      </c>
      <c r="G31" t="s">
        <v>1477</v>
      </c>
      <c r="I31" s="17"/>
      <c r="J31" s="17"/>
      <c r="K31" s="17"/>
    </row>
    <row r="32" spans="1:15">
      <c r="A32" t="s">
        <v>1306</v>
      </c>
      <c r="B32" t="s">
        <v>1307</v>
      </c>
      <c r="C32" t="s">
        <v>72</v>
      </c>
      <c r="E32" t="s">
        <v>10</v>
      </c>
      <c r="F32" t="s">
        <v>1478</v>
      </c>
      <c r="G32" t="s">
        <v>1308</v>
      </c>
      <c r="I32" s="17"/>
      <c r="J32" s="17"/>
      <c r="K32" s="17"/>
    </row>
    <row r="33" spans="1:11">
      <c r="A33" t="s">
        <v>1309</v>
      </c>
      <c r="B33" t="s">
        <v>1479</v>
      </c>
      <c r="C33" t="s">
        <v>72</v>
      </c>
      <c r="E33" t="s">
        <v>72</v>
      </c>
      <c r="F33" t="s">
        <v>1310</v>
      </c>
      <c r="G33" t="s">
        <v>1311</v>
      </c>
      <c r="I33" s="17"/>
      <c r="J33" s="17"/>
      <c r="K33" s="17"/>
    </row>
    <row r="34" spans="1:11">
      <c r="A34" t="s">
        <v>1002</v>
      </c>
      <c r="B34" t="s">
        <v>1002</v>
      </c>
      <c r="C34" t="s">
        <v>72</v>
      </c>
      <c r="E34" t="s">
        <v>10</v>
      </c>
      <c r="F34" t="s">
        <v>1312</v>
      </c>
      <c r="G34" t="s">
        <v>1313</v>
      </c>
      <c r="I34" s="17"/>
      <c r="J34" s="17"/>
      <c r="K34" s="17"/>
    </row>
    <row r="35" spans="1:11">
      <c r="A35" t="s">
        <v>1010</v>
      </c>
      <c r="B35" t="s">
        <v>1314</v>
      </c>
      <c r="C35" t="s">
        <v>72</v>
      </c>
      <c r="E35" t="s">
        <v>72</v>
      </c>
      <c r="F35" t="s">
        <v>1480</v>
      </c>
      <c r="G35" t="s">
        <v>1481</v>
      </c>
      <c r="I35" s="17"/>
      <c r="J35" s="17"/>
      <c r="K35" s="17"/>
    </row>
    <row r="36" spans="1:11">
      <c r="A36" t="s">
        <v>1013</v>
      </c>
      <c r="B36" t="s">
        <v>1482</v>
      </c>
      <c r="C36" t="s">
        <v>72</v>
      </c>
      <c r="E36" t="s">
        <v>72</v>
      </c>
      <c r="F36" t="s">
        <v>1014</v>
      </c>
      <c r="G36" t="s">
        <v>1483</v>
      </c>
      <c r="I36" s="17"/>
      <c r="J36" s="17"/>
      <c r="K36" s="17"/>
    </row>
    <row r="37" spans="1:11">
      <c r="A37" t="s">
        <v>1318</v>
      </c>
      <c r="B37" t="s">
        <v>1484</v>
      </c>
      <c r="C37" t="s">
        <v>72</v>
      </c>
      <c r="E37" t="s">
        <v>72</v>
      </c>
      <c r="F37" t="s">
        <v>1319</v>
      </c>
      <c r="G37" t="s">
        <v>1485</v>
      </c>
      <c r="I37" s="17"/>
      <c r="J37" s="17"/>
      <c r="K37" s="17"/>
    </row>
    <row r="38" spans="1:11">
      <c r="A38" t="s">
        <v>999</v>
      </c>
      <c r="B38" t="s">
        <v>1486</v>
      </c>
      <c r="C38" t="s">
        <v>72</v>
      </c>
      <c r="E38" t="s">
        <v>72</v>
      </c>
      <c r="F38" t="s">
        <v>1320</v>
      </c>
      <c r="G38" t="s">
        <v>1487</v>
      </c>
      <c r="I38" s="17"/>
      <c r="J38" s="17"/>
      <c r="K38" s="17"/>
    </row>
    <row r="39" spans="1:11">
      <c r="A39" t="s">
        <v>1321</v>
      </c>
      <c r="B39" t="s">
        <v>1488</v>
      </c>
      <c r="C39" t="s">
        <v>72</v>
      </c>
      <c r="E39" t="s">
        <v>72</v>
      </c>
      <c r="F39" t="s">
        <v>1322</v>
      </c>
      <c r="G39" t="s">
        <v>1489</v>
      </c>
      <c r="I39" s="17"/>
      <c r="J39" s="17"/>
      <c r="K39" s="17"/>
    </row>
    <row r="40" spans="1:11">
      <c r="A40" t="s">
        <v>997</v>
      </c>
      <c r="B40" t="s">
        <v>1323</v>
      </c>
      <c r="C40" t="s">
        <v>72</v>
      </c>
      <c r="E40" t="s">
        <v>72</v>
      </c>
      <c r="F40" t="s">
        <v>1324</v>
      </c>
      <c r="G40" t="s">
        <v>1325</v>
      </c>
      <c r="I40" s="17"/>
      <c r="J40" s="17"/>
      <c r="K40" s="17"/>
    </row>
    <row r="41" spans="1:11">
      <c r="A41" t="s">
        <v>994</v>
      </c>
      <c r="B41" t="s">
        <v>1490</v>
      </c>
      <c r="C41" t="s">
        <v>72</v>
      </c>
      <c r="E41" t="s">
        <v>72</v>
      </c>
      <c r="F41" t="s">
        <v>1326</v>
      </c>
      <c r="G41" t="s">
        <v>1327</v>
      </c>
      <c r="I41" s="17"/>
      <c r="J41" s="17"/>
      <c r="K41" s="17"/>
    </row>
    <row r="42" spans="1:11">
      <c r="A42" t="s">
        <v>989</v>
      </c>
      <c r="B42" t="s">
        <v>1491</v>
      </c>
      <c r="C42" t="s">
        <v>72</v>
      </c>
      <c r="E42" t="s">
        <v>72</v>
      </c>
      <c r="F42" t="s">
        <v>1328</v>
      </c>
      <c r="G42" t="s">
        <v>1492</v>
      </c>
      <c r="H42" s="6" t="s">
        <v>990</v>
      </c>
      <c r="I42" s="27"/>
      <c r="J42" s="27"/>
      <c r="K42" s="27"/>
    </row>
    <row r="43" spans="1:11">
      <c r="A43" t="s">
        <v>996</v>
      </c>
      <c r="B43" t="s">
        <v>1493</v>
      </c>
      <c r="C43" t="s">
        <v>72</v>
      </c>
      <c r="E43" t="s">
        <v>72</v>
      </c>
      <c r="F43" t="s">
        <v>1329</v>
      </c>
      <c r="G43" t="s">
        <v>1494</v>
      </c>
      <c r="H43" t="s">
        <v>1330</v>
      </c>
      <c r="I43" s="17"/>
      <c r="J43" s="17"/>
      <c r="K43" s="17"/>
    </row>
    <row r="44" spans="1:11">
      <c r="A44" t="s">
        <v>1331</v>
      </c>
      <c r="B44" t="s">
        <v>1495</v>
      </c>
      <c r="C44" t="s">
        <v>72</v>
      </c>
      <c r="E44" t="s">
        <v>10</v>
      </c>
      <c r="F44" t="s">
        <v>1332</v>
      </c>
      <c r="G44" t="s">
        <v>1333</v>
      </c>
      <c r="I44" s="17"/>
      <c r="J44" s="17"/>
      <c r="K44" s="17"/>
    </row>
    <row r="45" spans="1:11">
      <c r="A45" t="s">
        <v>1334</v>
      </c>
      <c r="B45" t="s">
        <v>1496</v>
      </c>
      <c r="C45" t="s">
        <v>72</v>
      </c>
      <c r="E45" t="s">
        <v>72</v>
      </c>
      <c r="F45" t="s">
        <v>1335</v>
      </c>
      <c r="G45" t="s">
        <v>1336</v>
      </c>
      <c r="I45" s="17"/>
      <c r="J45" s="17"/>
      <c r="K45" s="17"/>
    </row>
    <row r="46" spans="1:11">
      <c r="A46" t="s">
        <v>1337</v>
      </c>
      <c r="B46" t="s">
        <v>1497</v>
      </c>
      <c r="C46" t="s">
        <v>72</v>
      </c>
      <c r="E46" t="s">
        <v>72</v>
      </c>
      <c r="F46" t="s">
        <v>1338</v>
      </c>
      <c r="G46" t="s">
        <v>1339</v>
      </c>
      <c r="H46" t="s">
        <v>1340</v>
      </c>
      <c r="I46" s="17"/>
      <c r="J46" s="17"/>
      <c r="K46" s="17"/>
    </row>
    <row r="47" spans="1:11">
      <c r="A47" t="s">
        <v>1341</v>
      </c>
      <c r="B47" t="s">
        <v>1498</v>
      </c>
      <c r="C47" t="s">
        <v>72</v>
      </c>
      <c r="E47" t="s">
        <v>72</v>
      </c>
      <c r="F47" t="s">
        <v>1342</v>
      </c>
      <c r="G47" t="s">
        <v>1343</v>
      </c>
      <c r="I47" s="17"/>
      <c r="J47" s="17"/>
      <c r="K47" s="17"/>
    </row>
    <row r="48" spans="1:11">
      <c r="A48" t="s">
        <v>1344</v>
      </c>
      <c r="B48" t="s">
        <v>1499</v>
      </c>
      <c r="C48" t="s">
        <v>72</v>
      </c>
      <c r="E48" t="s">
        <v>72</v>
      </c>
      <c r="F48" t="s">
        <v>1345</v>
      </c>
      <c r="G48" t="s">
        <v>1346</v>
      </c>
      <c r="H48" t="s">
        <v>1347</v>
      </c>
      <c r="I48" s="17"/>
      <c r="J48" s="17"/>
      <c r="K48" s="17"/>
    </row>
    <row r="49" spans="1:15">
      <c r="A49" t="s">
        <v>1500</v>
      </c>
      <c r="B49" t="s">
        <v>1348</v>
      </c>
      <c r="C49" t="s">
        <v>1349</v>
      </c>
      <c r="D49" t="s">
        <v>98</v>
      </c>
      <c r="E49" t="s">
        <v>10</v>
      </c>
      <c r="F49" t="s">
        <v>1350</v>
      </c>
      <c r="G49" t="s">
        <v>1501</v>
      </c>
      <c r="H49" t="s">
        <v>1502</v>
      </c>
      <c r="I49" s="17"/>
      <c r="J49" s="17"/>
      <c r="K49" s="17"/>
    </row>
    <row r="50" spans="1:15">
      <c r="A50" t="s">
        <v>1351</v>
      </c>
      <c r="B50" t="s">
        <v>1503</v>
      </c>
      <c r="C50" t="s">
        <v>72</v>
      </c>
      <c r="E50" t="s">
        <v>10</v>
      </c>
      <c r="F50" t="s">
        <v>1504</v>
      </c>
      <c r="G50" t="s">
        <v>1352</v>
      </c>
      <c r="H50" t="s">
        <v>1353</v>
      </c>
      <c r="I50" s="17"/>
      <c r="J50" s="17"/>
      <c r="K50" s="17"/>
    </row>
    <row r="51" spans="1:15">
      <c r="A51" t="s">
        <v>1354</v>
      </c>
      <c r="B51" t="s">
        <v>1505</v>
      </c>
      <c r="C51" t="s">
        <v>72</v>
      </c>
      <c r="E51" t="s">
        <v>10</v>
      </c>
      <c r="F51" t="s">
        <v>1355</v>
      </c>
      <c r="G51" t="s">
        <v>1356</v>
      </c>
      <c r="H51" t="s">
        <v>1357</v>
      </c>
      <c r="I51" s="17"/>
      <c r="J51" s="17"/>
      <c r="K51" s="17"/>
    </row>
    <row r="52" spans="1:15">
      <c r="A52" t="s">
        <v>1506</v>
      </c>
      <c r="B52" t="s">
        <v>1358</v>
      </c>
      <c r="C52" t="s">
        <v>72</v>
      </c>
      <c r="E52" t="s">
        <v>72</v>
      </c>
      <c r="F52" t="s">
        <v>1359</v>
      </c>
      <c r="G52" t="s">
        <v>1507</v>
      </c>
      <c r="H52" t="s">
        <v>1360</v>
      </c>
      <c r="I52" s="17"/>
      <c r="J52" s="17"/>
      <c r="K52" s="17"/>
    </row>
    <row r="53" spans="1:15">
      <c r="A53" t="s">
        <v>1361</v>
      </c>
      <c r="B53" t="s">
        <v>1362</v>
      </c>
      <c r="C53" t="s">
        <v>72</v>
      </c>
      <c r="E53" t="s">
        <v>72</v>
      </c>
      <c r="F53" t="s">
        <v>1363</v>
      </c>
      <c r="G53" t="s">
        <v>1508</v>
      </c>
      <c r="H53" t="s">
        <v>1364</v>
      </c>
      <c r="I53" s="17"/>
      <c r="J53" s="17"/>
      <c r="K53" s="17"/>
    </row>
    <row r="54" spans="1:15">
      <c r="A54" t="s">
        <v>1365</v>
      </c>
      <c r="B54" t="s">
        <v>1366</v>
      </c>
      <c r="C54" t="s">
        <v>72</v>
      </c>
      <c r="E54" t="s">
        <v>72</v>
      </c>
      <c r="F54" t="s">
        <v>1363</v>
      </c>
      <c r="G54" t="s">
        <v>1509</v>
      </c>
      <c r="H54" t="s">
        <v>1367</v>
      </c>
      <c r="I54" s="17"/>
      <c r="J54" s="17"/>
      <c r="K54" s="17"/>
    </row>
    <row r="55" spans="1:15">
      <c r="A55" s="6" t="s">
        <v>1510</v>
      </c>
      <c r="B55" s="6" t="s">
        <v>985</v>
      </c>
      <c r="C55" s="6" t="s">
        <v>72</v>
      </c>
      <c r="D55" s="6"/>
      <c r="E55" t="s">
        <v>10</v>
      </c>
      <c r="F55" s="6"/>
      <c r="G55" s="6" t="s">
        <v>1511</v>
      </c>
      <c r="H55" s="6" t="s">
        <v>986</v>
      </c>
      <c r="I55" s="27"/>
      <c r="J55" s="27"/>
      <c r="K55" s="27"/>
    </row>
    <row r="56" spans="1:15">
      <c r="A56" s="6" t="s">
        <v>1512</v>
      </c>
      <c r="B56" s="6" t="s">
        <v>987</v>
      </c>
      <c r="C56" s="6" t="s">
        <v>72</v>
      </c>
      <c r="D56" s="6"/>
      <c r="E56" t="s">
        <v>72</v>
      </c>
      <c r="F56" s="6"/>
      <c r="G56" s="6" t="s">
        <v>1513</v>
      </c>
      <c r="H56" s="6" t="s">
        <v>988</v>
      </c>
      <c r="I56" s="27"/>
      <c r="J56" s="27"/>
      <c r="K56" s="27"/>
    </row>
    <row r="57" spans="1:15">
      <c r="A57" s="6" t="s">
        <v>1514</v>
      </c>
      <c r="B57" s="6" t="s">
        <v>98</v>
      </c>
      <c r="C57" s="6" t="s">
        <v>72</v>
      </c>
      <c r="D57" s="6"/>
      <c r="E57" t="s">
        <v>72</v>
      </c>
      <c r="F57" s="6"/>
      <c r="G57" s="6" t="s">
        <v>991</v>
      </c>
      <c r="H57" s="6" t="s">
        <v>1515</v>
      </c>
      <c r="I57" s="27"/>
      <c r="J57" s="27"/>
      <c r="K57" s="27"/>
    </row>
    <row r="58" spans="1:15">
      <c r="A58" s="6" t="s">
        <v>1516</v>
      </c>
      <c r="B58" s="6" t="s">
        <v>98</v>
      </c>
      <c r="C58" s="6" t="s">
        <v>72</v>
      </c>
      <c r="D58" s="6"/>
      <c r="E58" t="s">
        <v>10</v>
      </c>
      <c r="F58" s="6"/>
      <c r="G58" s="6" t="s">
        <v>992</v>
      </c>
      <c r="H58" s="6" t="s">
        <v>993</v>
      </c>
      <c r="I58" s="27"/>
      <c r="J58" s="27"/>
      <c r="K58" s="27"/>
    </row>
    <row r="59" spans="1:15">
      <c r="A59" s="6" t="s">
        <v>1517</v>
      </c>
      <c r="B59" s="6" t="s">
        <v>1000</v>
      </c>
      <c r="C59" s="6" t="s">
        <v>72</v>
      </c>
      <c r="D59" s="6"/>
      <c r="E59" t="s">
        <v>72</v>
      </c>
      <c r="F59" s="6" t="s">
        <v>1001</v>
      </c>
      <c r="G59" s="6" t="s">
        <v>1518</v>
      </c>
      <c r="H59" s="6" t="s">
        <v>89</v>
      </c>
      <c r="I59" s="27"/>
      <c r="J59" s="27"/>
      <c r="K59" s="27"/>
    </row>
    <row r="60" spans="1:15">
      <c r="A60" s="6" t="s">
        <v>1003</v>
      </c>
      <c r="B60" s="6" t="s">
        <v>1004</v>
      </c>
      <c r="C60" s="6" t="s">
        <v>72</v>
      </c>
      <c r="D60" s="6"/>
      <c r="E60" t="s">
        <v>72</v>
      </c>
      <c r="F60" s="6"/>
      <c r="G60" s="6" t="s">
        <v>1005</v>
      </c>
      <c r="H60" s="6" t="s">
        <v>1006</v>
      </c>
      <c r="I60" s="27"/>
      <c r="J60" s="27"/>
      <c r="K60" s="27"/>
    </row>
    <row r="61" spans="1:15">
      <c r="A61" s="24" t="s">
        <v>1015</v>
      </c>
      <c r="B61" s="24" t="s">
        <v>1016</v>
      </c>
      <c r="C61" s="24" t="s">
        <v>72</v>
      </c>
      <c r="D61" s="24"/>
      <c r="E61" s="19" t="s">
        <v>72</v>
      </c>
      <c r="F61" s="24"/>
      <c r="G61" s="24" t="s">
        <v>1519</v>
      </c>
      <c r="H61" s="24" t="s">
        <v>1017</v>
      </c>
      <c r="I61" s="28"/>
      <c r="J61" s="28"/>
      <c r="K61" s="28"/>
      <c r="L61" s="19"/>
      <c r="M61" s="19"/>
      <c r="N61" s="19"/>
      <c r="O61" s="19"/>
    </row>
    <row r="62" spans="1:15">
      <c r="C62" s="3">
        <f>27/60</f>
        <v>0.45</v>
      </c>
      <c r="D62" t="s">
        <v>1617</v>
      </c>
      <c r="E62" s="3">
        <f>26/(26+COUNTIF(E29:E61,"N"))</f>
        <v>0.50980392156862742</v>
      </c>
      <c r="H62" s="6" t="s">
        <v>1420</v>
      </c>
      <c r="I62" s="17">
        <f>MEDIAN(I2:I24)</f>
        <v>1.7</v>
      </c>
      <c r="J62" s="17">
        <f t="shared" ref="J62:K62" si="4">MEDIAN(J2:J24)</f>
        <v>3.25</v>
      </c>
      <c r="K62" s="17">
        <f t="shared" si="4"/>
        <v>2.1500000000000004</v>
      </c>
    </row>
    <row r="63" spans="1:15">
      <c r="E63">
        <f>COUNTIF(E29:E61,"N")+26</f>
        <v>51</v>
      </c>
      <c r="H63" s="6" t="s">
        <v>1421</v>
      </c>
      <c r="I63" s="17">
        <f>AVERAGE(I2:I24)</f>
        <v>2.1719599999999994</v>
      </c>
      <c r="J63" s="17">
        <f t="shared" ref="J63:K63" si="5">AVERAGE(J2:J24)</f>
        <v>3.8666666666666667</v>
      </c>
      <c r="K63" s="17">
        <f t="shared" si="5"/>
        <v>2.4715555555555557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0EBAF-3404-4443-ADFB-14B55DAEC05F}">
  <sheetPr>
    <tabColor theme="9" tint="0.59999389629810485"/>
  </sheetPr>
  <dimension ref="A1:O39"/>
  <sheetViews>
    <sheetView workbookViewId="0">
      <selection activeCell="B10" sqref="B10"/>
    </sheetView>
  </sheetViews>
  <sheetFormatPr baseColWidth="10" defaultRowHeight="16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1616</v>
      </c>
      <c r="F1" t="s">
        <v>4</v>
      </c>
      <c r="G1" t="s">
        <v>5</v>
      </c>
      <c r="H1" t="s">
        <v>6</v>
      </c>
      <c r="I1" t="s">
        <v>1399</v>
      </c>
      <c r="J1" t="s">
        <v>1373</v>
      </c>
      <c r="K1" t="s">
        <v>1400</v>
      </c>
      <c r="L1" t="s">
        <v>7</v>
      </c>
      <c r="M1" t="s">
        <v>1148</v>
      </c>
      <c r="N1" t="s">
        <v>8</v>
      </c>
    </row>
    <row r="2" spans="1:15">
      <c r="A2" t="s">
        <v>9</v>
      </c>
      <c r="B2" t="s">
        <v>1423</v>
      </c>
      <c r="C2" t="s">
        <v>10</v>
      </c>
      <c r="D2" t="s">
        <v>11</v>
      </c>
      <c r="G2" t="s">
        <v>12</v>
      </c>
      <c r="H2" t="s">
        <v>1424</v>
      </c>
      <c r="I2">
        <v>9546</v>
      </c>
      <c r="K2">
        <f t="shared" ref="K2:K13" si="0">MAX(J2,I2)</f>
        <v>9546</v>
      </c>
      <c r="L2">
        <v>2024</v>
      </c>
      <c r="N2" t="s">
        <v>13</v>
      </c>
    </row>
    <row r="3" spans="1:15">
      <c r="A3" t="s">
        <v>14</v>
      </c>
      <c r="B3" t="s">
        <v>15</v>
      </c>
      <c r="C3" t="s">
        <v>10</v>
      </c>
      <c r="D3" t="s">
        <v>16</v>
      </c>
      <c r="G3" t="s">
        <v>1425</v>
      </c>
      <c r="H3" t="s">
        <v>17</v>
      </c>
      <c r="I3">
        <v>14100</v>
      </c>
      <c r="J3">
        <v>21833</v>
      </c>
      <c r="K3">
        <f t="shared" si="0"/>
        <v>21833</v>
      </c>
      <c r="L3">
        <v>2024</v>
      </c>
      <c r="M3" t="s">
        <v>1368</v>
      </c>
      <c r="N3" t="s">
        <v>18</v>
      </c>
    </row>
    <row r="4" spans="1:15">
      <c r="A4" t="s">
        <v>19</v>
      </c>
      <c r="B4" t="s">
        <v>20</v>
      </c>
      <c r="C4" t="s">
        <v>10</v>
      </c>
      <c r="D4" t="s">
        <v>21</v>
      </c>
      <c r="G4" t="s">
        <v>22</v>
      </c>
      <c r="H4" t="s">
        <v>23</v>
      </c>
      <c r="I4">
        <f>483*1.17</f>
        <v>565.11</v>
      </c>
      <c r="K4">
        <f t="shared" si="0"/>
        <v>565.11</v>
      </c>
      <c r="L4">
        <v>2024</v>
      </c>
      <c r="N4" t="s">
        <v>24</v>
      </c>
    </row>
    <row r="5" spans="1:15">
      <c r="A5" t="s">
        <v>25</v>
      </c>
      <c r="B5" t="s">
        <v>26</v>
      </c>
      <c r="C5" t="s">
        <v>10</v>
      </c>
      <c r="D5" t="s">
        <v>27</v>
      </c>
      <c r="G5" t="s">
        <v>1426</v>
      </c>
      <c r="H5" t="s">
        <v>28</v>
      </c>
      <c r="I5">
        <f>424*1.17</f>
        <v>496.08</v>
      </c>
      <c r="K5">
        <f t="shared" si="0"/>
        <v>496.08</v>
      </c>
      <c r="L5">
        <v>2024</v>
      </c>
      <c r="M5" t="s">
        <v>912</v>
      </c>
    </row>
    <row r="6" spans="1:15">
      <c r="A6" t="s">
        <v>29</v>
      </c>
      <c r="B6" t="s">
        <v>30</v>
      </c>
      <c r="C6" t="s">
        <v>10</v>
      </c>
      <c r="D6" t="s">
        <v>31</v>
      </c>
      <c r="G6" t="s">
        <v>1427</v>
      </c>
      <c r="H6" t="s">
        <v>32</v>
      </c>
      <c r="I6">
        <v>1220</v>
      </c>
      <c r="J6">
        <v>1978</v>
      </c>
      <c r="K6">
        <f t="shared" si="0"/>
        <v>1978</v>
      </c>
      <c r="L6">
        <v>2024</v>
      </c>
      <c r="M6" t="s">
        <v>1370</v>
      </c>
      <c r="N6" t="s">
        <v>33</v>
      </c>
    </row>
    <row r="7" spans="1:15">
      <c r="A7" t="s">
        <v>34</v>
      </c>
      <c r="B7" t="s">
        <v>35</v>
      </c>
      <c r="C7" t="s">
        <v>10</v>
      </c>
      <c r="D7" t="s">
        <v>36</v>
      </c>
      <c r="G7" t="s">
        <v>37</v>
      </c>
      <c r="H7" t="s">
        <v>38</v>
      </c>
      <c r="I7">
        <v>126</v>
      </c>
      <c r="K7">
        <f t="shared" si="0"/>
        <v>126</v>
      </c>
      <c r="L7">
        <v>2024</v>
      </c>
      <c r="M7" t="s">
        <v>913</v>
      </c>
    </row>
    <row r="8" spans="1:15">
      <c r="A8" t="s">
        <v>39</v>
      </c>
      <c r="B8" t="s">
        <v>40</v>
      </c>
      <c r="C8" t="s">
        <v>10</v>
      </c>
      <c r="D8" t="s">
        <v>41</v>
      </c>
      <c r="G8" t="s">
        <v>42</v>
      </c>
      <c r="H8" t="s">
        <v>43</v>
      </c>
      <c r="I8">
        <v>76</v>
      </c>
      <c r="K8">
        <f t="shared" si="0"/>
        <v>76</v>
      </c>
      <c r="L8">
        <v>2024</v>
      </c>
      <c r="M8" t="s">
        <v>913</v>
      </c>
    </row>
    <row r="9" spans="1:15">
      <c r="A9" t="s">
        <v>44</v>
      </c>
      <c r="B9" t="s">
        <v>45</v>
      </c>
      <c r="C9" t="s">
        <v>10</v>
      </c>
      <c r="D9" t="s">
        <v>46</v>
      </c>
      <c r="G9" t="s">
        <v>47</v>
      </c>
      <c r="H9" t="s">
        <v>48</v>
      </c>
      <c r="I9">
        <v>180</v>
      </c>
      <c r="K9">
        <f t="shared" si="0"/>
        <v>180</v>
      </c>
      <c r="L9" t="s">
        <v>1027</v>
      </c>
      <c r="M9" t="s">
        <v>1026</v>
      </c>
      <c r="N9" t="s">
        <v>1025</v>
      </c>
    </row>
    <row r="10" spans="1:15">
      <c r="A10" t="s">
        <v>49</v>
      </c>
      <c r="B10" t="s">
        <v>1428</v>
      </c>
      <c r="C10" t="s">
        <v>10</v>
      </c>
      <c r="D10" t="s">
        <v>50</v>
      </c>
      <c r="F10" t="s">
        <v>1429</v>
      </c>
      <c r="G10" t="s">
        <v>51</v>
      </c>
      <c r="H10" t="s">
        <v>52</v>
      </c>
      <c r="I10">
        <v>707</v>
      </c>
      <c r="J10">
        <v>500</v>
      </c>
      <c r="K10">
        <f t="shared" si="0"/>
        <v>707</v>
      </c>
      <c r="L10">
        <v>2031</v>
      </c>
      <c r="M10" t="s">
        <v>1371</v>
      </c>
      <c r="N10" t="s">
        <v>1028</v>
      </c>
      <c r="O10" t="s">
        <v>53</v>
      </c>
    </row>
    <row r="11" spans="1:15">
      <c r="A11" t="s">
        <v>54</v>
      </c>
      <c r="B11" t="s">
        <v>55</v>
      </c>
      <c r="C11" t="s">
        <v>56</v>
      </c>
      <c r="D11" t="s">
        <v>57</v>
      </c>
      <c r="F11" t="s">
        <v>58</v>
      </c>
      <c r="G11" t="s">
        <v>59</v>
      </c>
      <c r="H11" t="s">
        <v>60</v>
      </c>
      <c r="I11">
        <v>700</v>
      </c>
      <c r="J11">
        <v>800</v>
      </c>
      <c r="K11">
        <f t="shared" si="0"/>
        <v>800</v>
      </c>
      <c r="L11" t="s">
        <v>1029</v>
      </c>
      <c r="M11" t="s">
        <v>1372</v>
      </c>
      <c r="N11" t="s">
        <v>1030</v>
      </c>
    </row>
    <row r="12" spans="1:15">
      <c r="A12" t="s">
        <v>61</v>
      </c>
      <c r="B12" t="s">
        <v>1430</v>
      </c>
      <c r="C12" t="s">
        <v>56</v>
      </c>
      <c r="D12" t="s">
        <v>62</v>
      </c>
      <c r="F12" t="s">
        <v>63</v>
      </c>
      <c r="G12" t="s">
        <v>1431</v>
      </c>
      <c r="H12" t="s">
        <v>1432</v>
      </c>
      <c r="I12">
        <f>1600*1.24</f>
        <v>1984</v>
      </c>
      <c r="K12">
        <f t="shared" si="0"/>
        <v>1984</v>
      </c>
      <c r="L12">
        <v>2021</v>
      </c>
      <c r="M12" t="s">
        <v>914</v>
      </c>
      <c r="N12" t="s">
        <v>64</v>
      </c>
    </row>
    <row r="13" spans="1:15">
      <c r="A13" t="s">
        <v>65</v>
      </c>
      <c r="B13" t="s">
        <v>66</v>
      </c>
      <c r="C13" t="s">
        <v>10</v>
      </c>
      <c r="D13" t="s">
        <v>67</v>
      </c>
      <c r="G13" t="s">
        <v>1433</v>
      </c>
      <c r="H13" t="s">
        <v>68</v>
      </c>
      <c r="I13">
        <v>416.4</v>
      </c>
      <c r="K13">
        <f t="shared" si="0"/>
        <v>416.4</v>
      </c>
      <c r="L13">
        <v>2024</v>
      </c>
      <c r="M13" t="s">
        <v>915</v>
      </c>
      <c r="N13" t="s">
        <v>69</v>
      </c>
    </row>
    <row r="14" spans="1:15">
      <c r="A14" t="s">
        <v>70</v>
      </c>
      <c r="B14" t="s">
        <v>71</v>
      </c>
      <c r="C14" t="s">
        <v>72</v>
      </c>
      <c r="E14" t="s">
        <v>72</v>
      </c>
      <c r="G14" t="s">
        <v>73</v>
      </c>
      <c r="H14" t="s">
        <v>74</v>
      </c>
      <c r="N14" t="s">
        <v>75</v>
      </c>
    </row>
    <row r="15" spans="1:15">
      <c r="A15" t="s">
        <v>76</v>
      </c>
      <c r="B15" t="s">
        <v>77</v>
      </c>
      <c r="C15" t="s">
        <v>72</v>
      </c>
      <c r="E15" t="s">
        <v>72</v>
      </c>
      <c r="G15" t="s">
        <v>78</v>
      </c>
      <c r="H15" t="s">
        <v>79</v>
      </c>
      <c r="N15" t="s">
        <v>80</v>
      </c>
    </row>
    <row r="16" spans="1:15">
      <c r="A16" t="s">
        <v>81</v>
      </c>
      <c r="B16" t="s">
        <v>1434</v>
      </c>
      <c r="C16" t="s">
        <v>72</v>
      </c>
      <c r="E16" t="s">
        <v>72</v>
      </c>
      <c r="F16" t="s">
        <v>82</v>
      </c>
      <c r="G16" t="s">
        <v>83</v>
      </c>
      <c r="H16" t="s">
        <v>84</v>
      </c>
      <c r="N16" t="s">
        <v>85</v>
      </c>
    </row>
    <row r="17" spans="1:14">
      <c r="A17" t="s">
        <v>86</v>
      </c>
      <c r="B17" t="s">
        <v>87</v>
      </c>
      <c r="C17" t="s">
        <v>72</v>
      </c>
      <c r="E17" t="s">
        <v>72</v>
      </c>
      <c r="G17" t="s">
        <v>88</v>
      </c>
      <c r="H17" t="s">
        <v>89</v>
      </c>
      <c r="N17" t="s">
        <v>90</v>
      </c>
    </row>
    <row r="18" spans="1:14">
      <c r="A18" t="s">
        <v>91</v>
      </c>
      <c r="B18" t="s">
        <v>1435</v>
      </c>
      <c r="C18" t="s">
        <v>72</v>
      </c>
      <c r="E18" t="s">
        <v>72</v>
      </c>
      <c r="F18" t="s">
        <v>92</v>
      </c>
      <c r="G18" t="s">
        <v>93</v>
      </c>
      <c r="H18" t="s">
        <v>89</v>
      </c>
    </row>
    <row r="19" spans="1:14">
      <c r="A19" t="s">
        <v>94</v>
      </c>
      <c r="B19" t="s">
        <v>95</v>
      </c>
      <c r="C19" t="s">
        <v>72</v>
      </c>
      <c r="E19" t="s">
        <v>72</v>
      </c>
      <c r="F19" t="s">
        <v>96</v>
      </c>
      <c r="G19" t="s">
        <v>97</v>
      </c>
      <c r="H19" t="s">
        <v>98</v>
      </c>
      <c r="N19" t="s">
        <v>99</v>
      </c>
    </row>
    <row r="20" spans="1:14">
      <c r="A20" t="s">
        <v>100</v>
      </c>
      <c r="B20" t="s">
        <v>101</v>
      </c>
      <c r="C20" t="s">
        <v>72</v>
      </c>
      <c r="E20" t="s">
        <v>72</v>
      </c>
      <c r="G20" t="s">
        <v>102</v>
      </c>
      <c r="H20" t="s">
        <v>103</v>
      </c>
      <c r="N20" t="s">
        <v>104</v>
      </c>
    </row>
    <row r="21" spans="1:14">
      <c r="A21" t="s">
        <v>105</v>
      </c>
      <c r="B21" t="s">
        <v>106</v>
      </c>
      <c r="C21" t="s">
        <v>72</v>
      </c>
      <c r="E21" t="s">
        <v>10</v>
      </c>
      <c r="G21" t="s">
        <v>107</v>
      </c>
      <c r="H21" t="s">
        <v>108</v>
      </c>
      <c r="N21" t="s">
        <v>109</v>
      </c>
    </row>
    <row r="22" spans="1:14">
      <c r="A22" t="s">
        <v>110</v>
      </c>
      <c r="B22" t="s">
        <v>1436</v>
      </c>
      <c r="C22" t="s">
        <v>72</v>
      </c>
      <c r="E22" t="s">
        <v>72</v>
      </c>
      <c r="G22" t="s">
        <v>1437</v>
      </c>
      <c r="H22" t="s">
        <v>111</v>
      </c>
    </row>
    <row r="23" spans="1:14">
      <c r="A23" t="s">
        <v>1438</v>
      </c>
      <c r="B23" t="s">
        <v>1439</v>
      </c>
      <c r="C23" t="s">
        <v>72</v>
      </c>
      <c r="E23" t="s">
        <v>10</v>
      </c>
      <c r="G23" t="s">
        <v>112</v>
      </c>
      <c r="H23" t="s">
        <v>113</v>
      </c>
    </row>
    <row r="24" spans="1:14">
      <c r="A24" t="s">
        <v>114</v>
      </c>
      <c r="B24" t="s">
        <v>1440</v>
      </c>
      <c r="C24" t="s">
        <v>72</v>
      </c>
      <c r="E24" t="s">
        <v>72</v>
      </c>
      <c r="F24" t="s">
        <v>115</v>
      </c>
      <c r="G24" t="s">
        <v>116</v>
      </c>
      <c r="H24" t="s">
        <v>117</v>
      </c>
    </row>
    <row r="25" spans="1:14">
      <c r="A25" t="s">
        <v>118</v>
      </c>
      <c r="B25" t="s">
        <v>119</v>
      </c>
      <c r="C25" t="s">
        <v>72</v>
      </c>
      <c r="E25" t="s">
        <v>10</v>
      </c>
      <c r="F25" t="s">
        <v>1441</v>
      </c>
      <c r="G25" t="s">
        <v>120</v>
      </c>
      <c r="H25" t="s">
        <v>121</v>
      </c>
      <c r="N25" t="s">
        <v>122</v>
      </c>
    </row>
    <row r="26" spans="1:14">
      <c r="A26" t="s">
        <v>123</v>
      </c>
      <c r="B26" t="s">
        <v>1442</v>
      </c>
      <c r="C26" t="s">
        <v>72</v>
      </c>
      <c r="E26" t="s">
        <v>72</v>
      </c>
      <c r="G26" t="s">
        <v>1443</v>
      </c>
      <c r="H26" t="s">
        <v>124</v>
      </c>
    </row>
    <row r="27" spans="1:14">
      <c r="A27" t="s">
        <v>125</v>
      </c>
      <c r="B27" t="s">
        <v>126</v>
      </c>
      <c r="C27" t="s">
        <v>72</v>
      </c>
      <c r="E27" t="s">
        <v>10</v>
      </c>
      <c r="G27" t="s">
        <v>127</v>
      </c>
      <c r="H27" t="s">
        <v>128</v>
      </c>
    </row>
    <row r="28" spans="1:14">
      <c r="A28" t="s">
        <v>129</v>
      </c>
      <c r="B28" t="s">
        <v>130</v>
      </c>
      <c r="C28" t="s">
        <v>72</v>
      </c>
      <c r="E28" t="s">
        <v>10</v>
      </c>
      <c r="G28" t="s">
        <v>131</v>
      </c>
      <c r="H28" t="s">
        <v>132</v>
      </c>
    </row>
    <row r="29" spans="1:14">
      <c r="A29" t="s">
        <v>133</v>
      </c>
      <c r="B29" t="s">
        <v>134</v>
      </c>
      <c r="C29" t="s">
        <v>72</v>
      </c>
      <c r="E29" t="s">
        <v>10</v>
      </c>
      <c r="F29" t="s">
        <v>135</v>
      </c>
      <c r="G29" t="s">
        <v>131</v>
      </c>
      <c r="H29" t="s">
        <v>136</v>
      </c>
    </row>
    <row r="30" spans="1:14">
      <c r="A30" t="s">
        <v>137</v>
      </c>
      <c r="B30" t="s">
        <v>138</v>
      </c>
      <c r="C30" t="s">
        <v>72</v>
      </c>
      <c r="E30" t="s">
        <v>72</v>
      </c>
      <c r="G30" t="s">
        <v>139</v>
      </c>
      <c r="H30" t="s">
        <v>140</v>
      </c>
      <c r="N30" t="s">
        <v>141</v>
      </c>
    </row>
    <row r="31" spans="1:14">
      <c r="A31" t="s">
        <v>142</v>
      </c>
      <c r="B31" t="s">
        <v>1444</v>
      </c>
      <c r="C31" t="s">
        <v>72</v>
      </c>
      <c r="E31" t="s">
        <v>72</v>
      </c>
      <c r="G31" t="s">
        <v>139</v>
      </c>
      <c r="H31" t="s">
        <v>140</v>
      </c>
      <c r="N31" t="s">
        <v>141</v>
      </c>
    </row>
    <row r="32" spans="1:14">
      <c r="A32" s="19" t="s">
        <v>143</v>
      </c>
      <c r="B32" s="19" t="s">
        <v>144</v>
      </c>
      <c r="C32" s="19" t="s">
        <v>72</v>
      </c>
      <c r="D32" s="19"/>
      <c r="E32" t="s">
        <v>72</v>
      </c>
      <c r="F32" s="19"/>
      <c r="G32" s="19" t="s">
        <v>145</v>
      </c>
      <c r="H32" s="19" t="s">
        <v>146</v>
      </c>
      <c r="I32" s="19"/>
      <c r="J32" s="19"/>
      <c r="K32" s="19"/>
      <c r="L32" s="19"/>
      <c r="M32" s="19"/>
      <c r="N32" s="19" t="s">
        <v>80</v>
      </c>
    </row>
    <row r="33" spans="3:11">
      <c r="C33" s="3">
        <f>12/31</f>
        <v>0.38709677419354838</v>
      </c>
      <c r="D33" t="s">
        <v>1617</v>
      </c>
      <c r="E33" s="18">
        <v>0.48</v>
      </c>
      <c r="H33" t="s">
        <v>1420</v>
      </c>
      <c r="I33">
        <f>MEDIAN(I2:I13)</f>
        <v>632.55500000000006</v>
      </c>
      <c r="J33">
        <f t="shared" ref="J33" si="1">MEDIAN(J2:J13)</f>
        <v>1389</v>
      </c>
      <c r="K33">
        <f>MEDIAN(K2:K13)</f>
        <v>636.05500000000006</v>
      </c>
    </row>
    <row r="34" spans="3:11">
      <c r="E34">
        <f>COUNTIF(E14:E32,"N")+12</f>
        <v>25</v>
      </c>
      <c r="H34" t="s">
        <v>1421</v>
      </c>
      <c r="I34">
        <f>AVERAGE(I2:I13)</f>
        <v>2509.7158333333336</v>
      </c>
      <c r="J34">
        <f t="shared" ref="J34:K34" si="2">AVERAGE(J2:J13)</f>
        <v>6277.75</v>
      </c>
      <c r="K34">
        <f t="shared" si="2"/>
        <v>3225.6325000000002</v>
      </c>
    </row>
    <row r="39" spans="3:11">
      <c r="C39" s="5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64A9D-65DD-484D-8C25-D14626A043B2}">
  <sheetPr>
    <tabColor theme="9" tint="0.59999389629810485"/>
  </sheetPr>
  <dimension ref="A1:J42"/>
  <sheetViews>
    <sheetView workbookViewId="0">
      <selection activeCell="D42" sqref="D42"/>
    </sheetView>
  </sheetViews>
  <sheetFormatPr baseColWidth="10" defaultRowHeight="16"/>
  <sheetData>
    <row r="1" spans="1:10">
      <c r="A1" s="8" t="s">
        <v>0</v>
      </c>
      <c r="B1" s="9" t="s">
        <v>2</v>
      </c>
      <c r="C1" s="9" t="s">
        <v>590</v>
      </c>
      <c r="D1" s="9" t="s">
        <v>1616</v>
      </c>
      <c r="E1" s="9" t="s">
        <v>591</v>
      </c>
      <c r="F1" s="9" t="s">
        <v>5</v>
      </c>
      <c r="G1" s="9" t="s">
        <v>6</v>
      </c>
      <c r="H1" s="9" t="s">
        <v>592</v>
      </c>
      <c r="I1" s="25" t="s">
        <v>1609</v>
      </c>
    </row>
    <row r="2" spans="1:10">
      <c r="A2" s="10" t="s">
        <v>593</v>
      </c>
      <c r="B2" s="10" t="s">
        <v>10</v>
      </c>
      <c r="C2" s="10" t="s">
        <v>594</v>
      </c>
      <c r="D2" s="10"/>
      <c r="E2" s="10" t="s">
        <v>595</v>
      </c>
      <c r="F2" s="10" t="s">
        <v>596</v>
      </c>
      <c r="G2" s="10" t="s">
        <v>597</v>
      </c>
      <c r="H2" s="10">
        <v>18.43</v>
      </c>
      <c r="I2" s="10">
        <v>18.43</v>
      </c>
    </row>
    <row r="3" spans="1:10">
      <c r="A3" s="10" t="s">
        <v>598</v>
      </c>
      <c r="B3" s="10" t="s">
        <v>10</v>
      </c>
      <c r="C3" s="10" t="s">
        <v>599</v>
      </c>
      <c r="D3" s="10"/>
      <c r="E3" s="10" t="s">
        <v>600</v>
      </c>
      <c r="F3" s="10" t="s">
        <v>601</v>
      </c>
      <c r="G3" s="10" t="s">
        <v>602</v>
      </c>
      <c r="H3" s="10"/>
    </row>
    <row r="4" spans="1:10">
      <c r="A4" s="10" t="s">
        <v>603</v>
      </c>
      <c r="B4" s="10" t="s">
        <v>10</v>
      </c>
      <c r="C4" s="10" t="s">
        <v>604</v>
      </c>
      <c r="D4" s="10"/>
      <c r="E4" s="10"/>
      <c r="F4" s="10" t="s">
        <v>605</v>
      </c>
      <c r="G4" s="10" t="s">
        <v>606</v>
      </c>
      <c r="H4" s="10">
        <v>2.5000000000000001E-2</v>
      </c>
      <c r="I4">
        <v>2.25</v>
      </c>
      <c r="J4" t="s">
        <v>1610</v>
      </c>
    </row>
    <row r="5" spans="1:10">
      <c r="A5" s="10" t="s">
        <v>607</v>
      </c>
      <c r="B5" s="10" t="s">
        <v>72</v>
      </c>
      <c r="C5" s="10"/>
      <c r="D5" t="s">
        <v>10</v>
      </c>
      <c r="E5" s="10" t="s">
        <v>608</v>
      </c>
      <c r="F5" s="10" t="s">
        <v>609</v>
      </c>
      <c r="G5" s="10" t="s">
        <v>610</v>
      </c>
      <c r="H5" s="10"/>
    </row>
    <row r="6" spans="1:10">
      <c r="A6" s="10" t="s">
        <v>611</v>
      </c>
      <c r="B6" s="10" t="s">
        <v>72</v>
      </c>
      <c r="C6" s="10"/>
      <c r="D6" t="s">
        <v>10</v>
      </c>
      <c r="E6" s="10"/>
      <c r="F6" s="10" t="s">
        <v>612</v>
      </c>
      <c r="G6" s="10" t="s">
        <v>613</v>
      </c>
      <c r="H6" s="10"/>
    </row>
    <row r="7" spans="1:10">
      <c r="A7" s="10" t="s">
        <v>614</v>
      </c>
      <c r="B7" s="10" t="s">
        <v>72</v>
      </c>
      <c r="C7" s="10"/>
      <c r="D7" t="s">
        <v>10</v>
      </c>
      <c r="E7" s="10"/>
      <c r="F7" s="10" t="s">
        <v>615</v>
      </c>
      <c r="G7" s="10" t="s">
        <v>616</v>
      </c>
      <c r="H7" s="10"/>
    </row>
    <row r="8" spans="1:10">
      <c r="A8" s="10" t="s">
        <v>617</v>
      </c>
      <c r="B8" s="10" t="s">
        <v>72</v>
      </c>
      <c r="C8" s="10"/>
      <c r="D8" t="s">
        <v>10</v>
      </c>
      <c r="E8" s="10" t="s">
        <v>618</v>
      </c>
      <c r="F8" s="10" t="s">
        <v>619</v>
      </c>
      <c r="G8" s="10" t="s">
        <v>620</v>
      </c>
      <c r="H8" s="10"/>
    </row>
    <row r="9" spans="1:10">
      <c r="A9" s="10" t="s">
        <v>621</v>
      </c>
      <c r="B9" s="10" t="s">
        <v>72</v>
      </c>
      <c r="C9" s="10"/>
      <c r="D9" t="s">
        <v>10</v>
      </c>
      <c r="E9" s="10" t="s">
        <v>622</v>
      </c>
      <c r="F9" s="10" t="s">
        <v>623</v>
      </c>
      <c r="G9" s="10" t="s">
        <v>624</v>
      </c>
      <c r="H9" s="10"/>
    </row>
    <row r="10" spans="1:10">
      <c r="A10" s="10" t="s">
        <v>625</v>
      </c>
      <c r="B10" s="10" t="s">
        <v>72</v>
      </c>
      <c r="C10" s="10"/>
      <c r="D10" t="s">
        <v>10</v>
      </c>
      <c r="E10" s="10"/>
      <c r="F10" s="10" t="s">
        <v>626</v>
      </c>
      <c r="G10" s="10" t="s">
        <v>627</v>
      </c>
      <c r="H10" s="10"/>
    </row>
    <row r="11" spans="1:10">
      <c r="A11" s="10" t="s">
        <v>628</v>
      </c>
      <c r="B11" s="10" t="s">
        <v>72</v>
      </c>
      <c r="C11" s="10"/>
      <c r="D11" t="s">
        <v>10</v>
      </c>
      <c r="E11" s="10"/>
      <c r="F11" s="10" t="s">
        <v>629</v>
      </c>
      <c r="G11" s="10" t="s">
        <v>630</v>
      </c>
      <c r="H11" s="10"/>
    </row>
    <row r="12" spans="1:10">
      <c r="A12" s="10" t="s">
        <v>631</v>
      </c>
      <c r="B12" s="10" t="s">
        <v>72</v>
      </c>
      <c r="C12" s="10"/>
      <c r="D12" t="s">
        <v>10</v>
      </c>
      <c r="E12" s="10"/>
      <c r="F12" s="10" t="s">
        <v>632</v>
      </c>
      <c r="G12" s="10" t="s">
        <v>633</v>
      </c>
      <c r="H12" s="10"/>
    </row>
    <row r="13" spans="1:10">
      <c r="A13" s="10" t="s">
        <v>634</v>
      </c>
      <c r="B13" s="10" t="s">
        <v>72</v>
      </c>
      <c r="C13" s="10"/>
      <c r="D13" t="s">
        <v>10</v>
      </c>
      <c r="E13" s="10"/>
      <c r="F13" s="10" t="s">
        <v>635</v>
      </c>
      <c r="G13" s="10" t="s">
        <v>636</v>
      </c>
      <c r="H13" s="10"/>
    </row>
    <row r="14" spans="1:10">
      <c r="A14" s="10" t="s">
        <v>637</v>
      </c>
      <c r="B14" s="10" t="s">
        <v>72</v>
      </c>
      <c r="C14" s="10"/>
      <c r="D14" t="s">
        <v>10</v>
      </c>
      <c r="E14" s="10" t="s">
        <v>638</v>
      </c>
      <c r="F14" s="10" t="s">
        <v>639</v>
      </c>
      <c r="G14" s="10" t="s">
        <v>640</v>
      </c>
      <c r="H14" s="10"/>
    </row>
    <row r="15" spans="1:10">
      <c r="A15" s="10" t="s">
        <v>641</v>
      </c>
      <c r="B15" s="10" t="s">
        <v>72</v>
      </c>
      <c r="C15" s="10"/>
      <c r="D15" t="s">
        <v>10</v>
      </c>
      <c r="E15" s="10"/>
      <c r="F15" s="10" t="s">
        <v>642</v>
      </c>
      <c r="G15" s="10" t="s">
        <v>643</v>
      </c>
      <c r="H15" s="10"/>
    </row>
    <row r="16" spans="1:10">
      <c r="A16" s="10" t="s">
        <v>644</v>
      </c>
      <c r="B16" s="10" t="s">
        <v>72</v>
      </c>
      <c r="C16" s="10"/>
      <c r="D16" t="s">
        <v>10</v>
      </c>
      <c r="E16" s="10"/>
      <c r="F16" s="10" t="s">
        <v>642</v>
      </c>
      <c r="G16" s="10" t="s">
        <v>643</v>
      </c>
      <c r="H16" s="10"/>
    </row>
    <row r="17" spans="1:8">
      <c r="A17" s="10" t="s">
        <v>645</v>
      </c>
      <c r="B17" s="10" t="s">
        <v>72</v>
      </c>
      <c r="C17" s="10"/>
      <c r="D17" t="s">
        <v>10</v>
      </c>
      <c r="E17" s="10"/>
      <c r="F17" s="10" t="s">
        <v>646</v>
      </c>
      <c r="G17" s="10" t="s">
        <v>647</v>
      </c>
      <c r="H17" s="10"/>
    </row>
    <row r="18" spans="1:8">
      <c r="A18" s="10" t="s">
        <v>648</v>
      </c>
      <c r="B18" s="10" t="s">
        <v>72</v>
      </c>
      <c r="C18" s="10"/>
      <c r="D18" t="s">
        <v>10</v>
      </c>
      <c r="E18" s="10"/>
      <c r="F18" s="10" t="s">
        <v>649</v>
      </c>
      <c r="G18" s="10" t="s">
        <v>647</v>
      </c>
      <c r="H18" s="10"/>
    </row>
    <row r="19" spans="1:8">
      <c r="A19" s="10" t="s">
        <v>650</v>
      </c>
      <c r="B19" s="10" t="s">
        <v>72</v>
      </c>
      <c r="C19" s="10"/>
      <c r="D19" t="s">
        <v>10</v>
      </c>
      <c r="E19" s="10"/>
      <c r="F19" s="10" t="s">
        <v>651</v>
      </c>
      <c r="G19" s="10" t="s">
        <v>652</v>
      </c>
      <c r="H19" s="10"/>
    </row>
    <row r="20" spans="1:8">
      <c r="A20" s="10" t="s">
        <v>653</v>
      </c>
      <c r="B20" s="10" t="s">
        <v>72</v>
      </c>
      <c r="C20" s="10"/>
      <c r="D20" t="s">
        <v>10</v>
      </c>
      <c r="E20" s="10"/>
      <c r="F20" s="10" t="s">
        <v>654</v>
      </c>
      <c r="G20" s="10" t="s">
        <v>655</v>
      </c>
      <c r="H20" s="10"/>
    </row>
    <row r="21" spans="1:8">
      <c r="A21" s="10" t="s">
        <v>656</v>
      </c>
      <c r="B21" s="10" t="s">
        <v>72</v>
      </c>
      <c r="C21" s="10"/>
      <c r="D21" t="s">
        <v>10</v>
      </c>
      <c r="E21" s="10"/>
      <c r="F21" s="10" t="s">
        <v>657</v>
      </c>
      <c r="G21" s="10" t="s">
        <v>658</v>
      </c>
      <c r="H21" s="10"/>
    </row>
    <row r="22" spans="1:8">
      <c r="A22" s="10" t="s">
        <v>659</v>
      </c>
      <c r="B22" s="10" t="s">
        <v>72</v>
      </c>
      <c r="C22" s="10"/>
      <c r="D22" t="s">
        <v>10</v>
      </c>
      <c r="E22" s="10" t="s">
        <v>660</v>
      </c>
      <c r="F22" s="10" t="s">
        <v>661</v>
      </c>
      <c r="G22" s="10" t="s">
        <v>662</v>
      </c>
      <c r="H22" s="10"/>
    </row>
    <row r="23" spans="1:8">
      <c r="A23" s="10" t="s">
        <v>663</v>
      </c>
      <c r="B23" s="10" t="s">
        <v>72</v>
      </c>
      <c r="C23" s="10"/>
      <c r="D23" t="s">
        <v>10</v>
      </c>
      <c r="E23" s="10"/>
      <c r="F23" s="10" t="s">
        <v>664</v>
      </c>
      <c r="G23" s="10" t="s">
        <v>665</v>
      </c>
      <c r="H23" s="10"/>
    </row>
    <row r="24" spans="1:8">
      <c r="A24" s="10" t="s">
        <v>666</v>
      </c>
      <c r="B24" s="10" t="s">
        <v>72</v>
      </c>
      <c r="C24" s="10"/>
      <c r="D24" t="s">
        <v>10</v>
      </c>
      <c r="E24" s="10" t="s">
        <v>667</v>
      </c>
      <c r="F24" s="10" t="s">
        <v>668</v>
      </c>
      <c r="G24" s="10" t="s">
        <v>669</v>
      </c>
      <c r="H24" s="10"/>
    </row>
    <row r="25" spans="1:8">
      <c r="A25" s="10" t="s">
        <v>670</v>
      </c>
      <c r="B25" s="10" t="s">
        <v>72</v>
      </c>
      <c r="C25" s="10"/>
      <c r="D25" t="s">
        <v>10</v>
      </c>
      <c r="E25" s="10" t="s">
        <v>671</v>
      </c>
      <c r="F25" s="10" t="s">
        <v>672</v>
      </c>
      <c r="G25" s="10" t="s">
        <v>673</v>
      </c>
      <c r="H25" s="10"/>
    </row>
    <row r="26" spans="1:8">
      <c r="A26" s="10" t="s">
        <v>674</v>
      </c>
      <c r="B26" s="10" t="s">
        <v>72</v>
      </c>
      <c r="C26" s="10"/>
      <c r="D26" t="s">
        <v>10</v>
      </c>
      <c r="E26" s="10"/>
      <c r="F26" s="10" t="s">
        <v>675</v>
      </c>
      <c r="G26" s="10" t="s">
        <v>676</v>
      </c>
      <c r="H26" s="10"/>
    </row>
    <row r="27" spans="1:8">
      <c r="A27" s="10" t="s">
        <v>677</v>
      </c>
      <c r="B27" s="10" t="s">
        <v>72</v>
      </c>
      <c r="C27" s="10"/>
      <c r="D27" t="s">
        <v>10</v>
      </c>
      <c r="E27" s="10" t="s">
        <v>678</v>
      </c>
      <c r="F27" s="10" t="s">
        <v>679</v>
      </c>
      <c r="G27" s="10" t="s">
        <v>680</v>
      </c>
      <c r="H27" s="10"/>
    </row>
    <row r="28" spans="1:8">
      <c r="A28" s="10" t="s">
        <v>681</v>
      </c>
      <c r="B28" s="10" t="s">
        <v>72</v>
      </c>
      <c r="C28" s="10"/>
      <c r="D28" t="s">
        <v>72</v>
      </c>
      <c r="E28" s="10"/>
      <c r="F28" s="10" t="s">
        <v>682</v>
      </c>
      <c r="G28" s="10" t="s">
        <v>683</v>
      </c>
      <c r="H28" s="10"/>
    </row>
    <row r="29" spans="1:8">
      <c r="A29" s="10" t="s">
        <v>684</v>
      </c>
      <c r="B29" s="10" t="s">
        <v>72</v>
      </c>
      <c r="C29" s="10"/>
      <c r="D29" t="s">
        <v>72</v>
      </c>
      <c r="E29" s="10"/>
      <c r="F29" s="10" t="s">
        <v>685</v>
      </c>
      <c r="G29" s="10" t="s">
        <v>686</v>
      </c>
      <c r="H29" s="10"/>
    </row>
    <row r="30" spans="1:8">
      <c r="A30" s="10" t="s">
        <v>687</v>
      </c>
      <c r="B30" s="10" t="s">
        <v>72</v>
      </c>
      <c r="C30" s="10"/>
      <c r="D30" t="s">
        <v>72</v>
      </c>
      <c r="E30" s="10" t="s">
        <v>688</v>
      </c>
      <c r="F30" s="10" t="s">
        <v>689</v>
      </c>
      <c r="G30" s="10" t="s">
        <v>690</v>
      </c>
      <c r="H30" s="10"/>
    </row>
    <row r="31" spans="1:8">
      <c r="A31" s="10" t="s">
        <v>691</v>
      </c>
      <c r="B31" s="10" t="s">
        <v>72</v>
      </c>
      <c r="C31" s="10"/>
      <c r="D31" t="s">
        <v>72</v>
      </c>
      <c r="E31" s="10"/>
      <c r="F31" s="10" t="s">
        <v>692</v>
      </c>
      <c r="G31" s="10" t="s">
        <v>693</v>
      </c>
      <c r="H31" s="10"/>
    </row>
    <row r="32" spans="1:8">
      <c r="A32" s="10" t="s">
        <v>694</v>
      </c>
      <c r="B32" s="10" t="s">
        <v>72</v>
      </c>
      <c r="C32" s="10"/>
      <c r="D32" t="s">
        <v>72</v>
      </c>
      <c r="E32" s="10" t="s">
        <v>695</v>
      </c>
      <c r="F32" s="10" t="s">
        <v>696</v>
      </c>
      <c r="G32" s="10" t="s">
        <v>697</v>
      </c>
      <c r="H32" s="10"/>
    </row>
    <row r="33" spans="1:8">
      <c r="A33" s="10" t="s">
        <v>698</v>
      </c>
      <c r="B33" s="10" t="s">
        <v>72</v>
      </c>
      <c r="C33" s="10"/>
      <c r="D33" t="s">
        <v>72</v>
      </c>
      <c r="E33" s="10"/>
      <c r="F33" s="10" t="s">
        <v>699</v>
      </c>
      <c r="G33" s="10" t="s">
        <v>697</v>
      </c>
      <c r="H33" s="10"/>
    </row>
    <row r="34" spans="1:8">
      <c r="A34" s="10" t="s">
        <v>700</v>
      </c>
      <c r="B34" s="10" t="s">
        <v>72</v>
      </c>
      <c r="C34" s="10"/>
      <c r="D34" t="s">
        <v>72</v>
      </c>
      <c r="E34" s="10" t="s">
        <v>701</v>
      </c>
      <c r="F34" s="10" t="s">
        <v>702</v>
      </c>
      <c r="G34" s="10" t="s">
        <v>703</v>
      </c>
      <c r="H34" s="10"/>
    </row>
    <row r="35" spans="1:8">
      <c r="A35" s="10" t="s">
        <v>704</v>
      </c>
      <c r="B35" s="10" t="s">
        <v>72</v>
      </c>
      <c r="C35" s="10"/>
      <c r="D35" t="s">
        <v>72</v>
      </c>
      <c r="E35" s="10"/>
      <c r="F35" s="10" t="s">
        <v>705</v>
      </c>
      <c r="G35" s="10" t="s">
        <v>706</v>
      </c>
      <c r="H35" s="10"/>
    </row>
    <row r="36" spans="1:8">
      <c r="A36" s="10" t="s">
        <v>707</v>
      </c>
      <c r="B36" s="10" t="s">
        <v>72</v>
      </c>
      <c r="C36" s="10"/>
      <c r="D36" t="s">
        <v>72</v>
      </c>
      <c r="E36" s="10" t="s">
        <v>708</v>
      </c>
      <c r="F36" s="10" t="s">
        <v>709</v>
      </c>
      <c r="G36" s="10" t="s">
        <v>710</v>
      </c>
      <c r="H36" s="10"/>
    </row>
    <row r="37" spans="1:8">
      <c r="A37" s="10" t="s">
        <v>711</v>
      </c>
      <c r="B37" s="10" t="s">
        <v>72</v>
      </c>
      <c r="C37" s="10"/>
      <c r="D37" t="s">
        <v>72</v>
      </c>
      <c r="E37" s="10" t="s">
        <v>712</v>
      </c>
      <c r="F37" s="10" t="s">
        <v>713</v>
      </c>
      <c r="G37" s="10" t="s">
        <v>714</v>
      </c>
      <c r="H37" s="10"/>
    </row>
    <row r="38" spans="1:8">
      <c r="A38" s="10" t="s">
        <v>715</v>
      </c>
      <c r="B38" s="10" t="s">
        <v>72</v>
      </c>
      <c r="C38" s="10"/>
      <c r="D38" t="s">
        <v>72</v>
      </c>
      <c r="E38" s="10" t="s">
        <v>716</v>
      </c>
      <c r="F38" s="10" t="s">
        <v>717</v>
      </c>
      <c r="G38" s="10" t="s">
        <v>718</v>
      </c>
      <c r="H38" s="10"/>
    </row>
    <row r="39" spans="1:8">
      <c r="A39" s="10" t="s">
        <v>719</v>
      </c>
      <c r="B39" s="10" t="s">
        <v>72</v>
      </c>
      <c r="C39" s="10"/>
      <c r="D39" t="s">
        <v>72</v>
      </c>
      <c r="E39" s="10" t="s">
        <v>720</v>
      </c>
      <c r="F39" s="10" t="s">
        <v>721</v>
      </c>
      <c r="G39" s="10" t="s">
        <v>722</v>
      </c>
      <c r="H39" s="10"/>
    </row>
    <row r="40" spans="1:8">
      <c r="A40" s="23" t="s">
        <v>723</v>
      </c>
      <c r="B40" s="23" t="s">
        <v>72</v>
      </c>
      <c r="C40" s="23"/>
      <c r="D40" t="s">
        <v>72</v>
      </c>
      <c r="E40" s="23" t="s">
        <v>724</v>
      </c>
      <c r="F40" s="23" t="s">
        <v>725</v>
      </c>
      <c r="G40" s="23" t="s">
        <v>726</v>
      </c>
      <c r="H40" s="23"/>
    </row>
    <row r="41" spans="1:8">
      <c r="B41" s="3">
        <v>7.0000000000000007E-2</v>
      </c>
      <c r="C41" s="10" t="s">
        <v>1617</v>
      </c>
      <c r="D41" s="29">
        <v>0.19</v>
      </c>
      <c r="H41">
        <v>18.399999999999999</v>
      </c>
    </row>
    <row r="42" spans="1:8">
      <c r="D42">
        <f>COUNTIF(D5:D40,"N")+3</f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E9AE1-9741-8349-878D-1A98EDFBF129}">
  <sheetPr>
    <tabColor theme="9" tint="0.59999389629810485"/>
  </sheetPr>
  <dimension ref="A1:M31"/>
  <sheetViews>
    <sheetView workbookViewId="0">
      <selection activeCell="D30" sqref="D30"/>
    </sheetView>
  </sheetViews>
  <sheetFormatPr baseColWidth="10" defaultRowHeight="16"/>
  <sheetData>
    <row r="1" spans="1:13">
      <c r="A1" s="1" t="s">
        <v>147</v>
      </c>
      <c r="B1" s="1" t="s">
        <v>148</v>
      </c>
      <c r="C1" s="1" t="s">
        <v>149</v>
      </c>
      <c r="D1" s="1" t="s">
        <v>1616</v>
      </c>
      <c r="E1" s="1" t="s">
        <v>150</v>
      </c>
      <c r="F1" s="1" t="s">
        <v>210</v>
      </c>
      <c r="G1" s="1" t="s">
        <v>1375</v>
      </c>
      <c r="H1" s="1" t="s">
        <v>1400</v>
      </c>
      <c r="I1" s="1" t="s">
        <v>211</v>
      </c>
      <c r="J1" s="1" t="s">
        <v>1148</v>
      </c>
      <c r="K1" s="1"/>
      <c r="L1" s="1"/>
      <c r="M1" s="1"/>
    </row>
    <row r="2" spans="1:13">
      <c r="A2" s="1" t="s">
        <v>151</v>
      </c>
      <c r="B2" s="1" t="s">
        <v>10</v>
      </c>
      <c r="C2" s="2" t="s">
        <v>152</v>
      </c>
      <c r="D2" s="1"/>
      <c r="E2" s="1" t="s">
        <v>153</v>
      </c>
      <c r="F2" s="17">
        <v>1.089</v>
      </c>
      <c r="G2" s="17"/>
      <c r="H2" s="17">
        <f>MAX(G2,F2)</f>
        <v>1.089</v>
      </c>
      <c r="I2" t="s">
        <v>212</v>
      </c>
      <c r="J2" s="1"/>
      <c r="K2" s="1"/>
    </row>
    <row r="3" spans="1:13">
      <c r="A3" s="1" t="s">
        <v>154</v>
      </c>
      <c r="B3" s="1" t="s">
        <v>10</v>
      </c>
      <c r="C3" s="2" t="s">
        <v>155</v>
      </c>
      <c r="D3" s="1"/>
      <c r="E3" s="1" t="s">
        <v>156</v>
      </c>
      <c r="F3" s="17">
        <v>1.5580000000000001</v>
      </c>
      <c r="G3" s="17">
        <v>7.35</v>
      </c>
      <c r="H3" s="17">
        <f t="shared" ref="H3:H5" si="0">MAX(G3,F3)</f>
        <v>7.35</v>
      </c>
      <c r="I3" t="s">
        <v>212</v>
      </c>
      <c r="J3" t="s">
        <v>1374</v>
      </c>
      <c r="K3" s="1"/>
    </row>
    <row r="4" spans="1:13">
      <c r="A4" s="1" t="s">
        <v>157</v>
      </c>
      <c r="B4" s="1" t="s">
        <v>10</v>
      </c>
      <c r="C4" s="2" t="s">
        <v>158</v>
      </c>
      <c r="D4" s="2"/>
      <c r="E4" s="2" t="s">
        <v>159</v>
      </c>
      <c r="F4" s="17">
        <v>0.14099999999999999</v>
      </c>
      <c r="G4" s="17">
        <v>0.95</v>
      </c>
      <c r="H4" s="17">
        <f t="shared" si="0"/>
        <v>0.95</v>
      </c>
      <c r="I4" t="s">
        <v>212</v>
      </c>
      <c r="J4" s="26" t="s">
        <v>1376</v>
      </c>
      <c r="K4" s="1"/>
    </row>
    <row r="5" spans="1:13">
      <c r="A5" s="1" t="s">
        <v>160</v>
      </c>
      <c r="B5" s="1" t="s">
        <v>10</v>
      </c>
      <c r="C5" s="2" t="s">
        <v>161</v>
      </c>
      <c r="D5" s="2"/>
      <c r="E5" s="2" t="s">
        <v>162</v>
      </c>
      <c r="F5" s="17">
        <v>0.48</v>
      </c>
      <c r="G5" s="17">
        <v>1.2</v>
      </c>
      <c r="H5" s="17">
        <f t="shared" si="0"/>
        <v>1.2</v>
      </c>
      <c r="I5" t="s">
        <v>212</v>
      </c>
      <c r="J5" t="s">
        <v>1377</v>
      </c>
      <c r="K5" s="1"/>
    </row>
    <row r="6" spans="1:13">
      <c r="A6" s="1" t="s">
        <v>163</v>
      </c>
      <c r="B6" t="s">
        <v>72</v>
      </c>
      <c r="C6" t="s">
        <v>164</v>
      </c>
      <c r="D6" s="1" t="s">
        <v>72</v>
      </c>
      <c r="E6" s="2" t="s">
        <v>165</v>
      </c>
      <c r="F6" s="17"/>
      <c r="G6" s="17"/>
      <c r="H6" s="17"/>
    </row>
    <row r="7" spans="1:13">
      <c r="A7" s="1" t="s">
        <v>166</v>
      </c>
      <c r="B7" t="s">
        <v>72</v>
      </c>
      <c r="C7" t="s">
        <v>164</v>
      </c>
      <c r="D7" s="1" t="s">
        <v>72</v>
      </c>
      <c r="E7" s="2" t="s">
        <v>167</v>
      </c>
      <c r="F7" s="17"/>
      <c r="G7" s="17"/>
      <c r="H7" s="17"/>
    </row>
    <row r="8" spans="1:13">
      <c r="A8" s="1" t="s">
        <v>168</v>
      </c>
      <c r="B8" t="s">
        <v>72</v>
      </c>
      <c r="C8" t="s">
        <v>164</v>
      </c>
      <c r="D8" s="1" t="s">
        <v>72</v>
      </c>
      <c r="E8" s="2" t="s">
        <v>169</v>
      </c>
      <c r="F8" s="17"/>
      <c r="G8" s="17"/>
      <c r="H8" s="17"/>
    </row>
    <row r="9" spans="1:13">
      <c r="A9" s="1" t="s">
        <v>170</v>
      </c>
      <c r="B9" t="s">
        <v>72</v>
      </c>
      <c r="C9" t="s">
        <v>164</v>
      </c>
      <c r="D9" s="1" t="s">
        <v>72</v>
      </c>
      <c r="E9" s="2" t="s">
        <v>171</v>
      </c>
      <c r="F9" s="17"/>
      <c r="G9" s="17"/>
      <c r="H9" s="17"/>
    </row>
    <row r="10" spans="1:13">
      <c r="A10" s="1" t="s">
        <v>172</v>
      </c>
      <c r="B10" t="s">
        <v>72</v>
      </c>
      <c r="C10" t="s">
        <v>164</v>
      </c>
      <c r="D10" s="1" t="s">
        <v>72</v>
      </c>
      <c r="E10" s="2" t="s">
        <v>173</v>
      </c>
      <c r="F10" s="17"/>
      <c r="G10" s="17"/>
      <c r="H10" s="17"/>
    </row>
    <row r="11" spans="1:13">
      <c r="A11" s="1" t="s">
        <v>174</v>
      </c>
      <c r="B11" t="s">
        <v>72</v>
      </c>
      <c r="C11" t="s">
        <v>164</v>
      </c>
      <c r="D11" s="1" t="s">
        <v>72</v>
      </c>
      <c r="E11" s="2" t="s">
        <v>175</v>
      </c>
      <c r="F11" s="17"/>
      <c r="G11" s="17"/>
      <c r="H11" s="17"/>
    </row>
    <row r="12" spans="1:13">
      <c r="A12" s="1" t="s">
        <v>176</v>
      </c>
      <c r="B12" t="s">
        <v>72</v>
      </c>
      <c r="C12" t="s">
        <v>164</v>
      </c>
      <c r="D12" s="1" t="s">
        <v>72</v>
      </c>
      <c r="E12" s="2" t="s">
        <v>177</v>
      </c>
      <c r="F12" s="17"/>
      <c r="G12" s="17"/>
      <c r="H12" s="17"/>
    </row>
    <row r="13" spans="1:13">
      <c r="A13" s="1" t="s">
        <v>178</v>
      </c>
      <c r="B13" t="s">
        <v>72</v>
      </c>
      <c r="C13" t="s">
        <v>164</v>
      </c>
      <c r="D13" s="1" t="s">
        <v>72</v>
      </c>
      <c r="E13" s="2" t="s">
        <v>179</v>
      </c>
      <c r="F13" s="17"/>
      <c r="G13" s="17"/>
      <c r="H13" s="17"/>
    </row>
    <row r="14" spans="1:13">
      <c r="A14" s="1" t="s">
        <v>180</v>
      </c>
      <c r="B14" t="s">
        <v>72</v>
      </c>
      <c r="C14" t="s">
        <v>164</v>
      </c>
      <c r="D14" s="1" t="s">
        <v>72</v>
      </c>
      <c r="E14" s="2" t="s">
        <v>181</v>
      </c>
      <c r="F14" s="17"/>
      <c r="G14" s="17"/>
      <c r="H14" s="17"/>
    </row>
    <row r="15" spans="1:13">
      <c r="A15" s="1" t="s">
        <v>182</v>
      </c>
      <c r="B15" t="s">
        <v>72</v>
      </c>
      <c r="C15" t="s">
        <v>164</v>
      </c>
      <c r="D15" s="1" t="s">
        <v>72</v>
      </c>
      <c r="E15" s="2" t="s">
        <v>183</v>
      </c>
      <c r="F15" s="17"/>
      <c r="G15" s="17"/>
      <c r="H15" s="17"/>
    </row>
    <row r="16" spans="1:13">
      <c r="A16" s="1" t="s">
        <v>184</v>
      </c>
      <c r="B16" t="s">
        <v>72</v>
      </c>
      <c r="C16" t="s">
        <v>164</v>
      </c>
      <c r="D16" s="1" t="s">
        <v>72</v>
      </c>
      <c r="E16" s="2" t="s">
        <v>185</v>
      </c>
      <c r="F16" s="17"/>
      <c r="G16" s="17"/>
      <c r="H16" s="17"/>
    </row>
    <row r="17" spans="1:10">
      <c r="A17" s="1" t="s">
        <v>186</v>
      </c>
      <c r="B17" t="s">
        <v>72</v>
      </c>
      <c r="C17" t="s">
        <v>164</v>
      </c>
      <c r="D17" s="1" t="s">
        <v>72</v>
      </c>
      <c r="E17" s="2" t="s">
        <v>187</v>
      </c>
      <c r="F17" s="17"/>
      <c r="G17" s="17"/>
      <c r="H17" s="17"/>
    </row>
    <row r="18" spans="1:10">
      <c r="A18" s="1" t="s">
        <v>188</v>
      </c>
      <c r="B18" t="s">
        <v>72</v>
      </c>
      <c r="C18" t="s">
        <v>164</v>
      </c>
      <c r="D18" s="1" t="s">
        <v>72</v>
      </c>
      <c r="E18" s="2" t="s">
        <v>189</v>
      </c>
      <c r="F18" s="17"/>
      <c r="G18" s="17"/>
      <c r="H18" s="17"/>
    </row>
    <row r="19" spans="1:10">
      <c r="A19" s="1" t="s">
        <v>190</v>
      </c>
      <c r="B19" t="s">
        <v>72</v>
      </c>
      <c r="C19" t="s">
        <v>164</v>
      </c>
      <c r="D19" s="1" t="s">
        <v>72</v>
      </c>
      <c r="E19" s="2" t="s">
        <v>191</v>
      </c>
      <c r="F19" s="17"/>
      <c r="G19" s="17"/>
      <c r="H19" s="17"/>
    </row>
    <row r="20" spans="1:10">
      <c r="A20" s="1" t="s">
        <v>192</v>
      </c>
      <c r="B20" t="s">
        <v>72</v>
      </c>
      <c r="C20" t="s">
        <v>164</v>
      </c>
      <c r="D20" s="1" t="s">
        <v>72</v>
      </c>
      <c r="E20" s="2" t="s">
        <v>193</v>
      </c>
      <c r="F20" s="17"/>
      <c r="G20" s="17"/>
      <c r="H20" s="17"/>
    </row>
    <row r="21" spans="1:10">
      <c r="A21" s="1" t="s">
        <v>194</v>
      </c>
      <c r="B21" t="s">
        <v>72</v>
      </c>
      <c r="C21" t="s">
        <v>164</v>
      </c>
      <c r="D21" s="1" t="s">
        <v>72</v>
      </c>
      <c r="E21" s="2" t="s">
        <v>195</v>
      </c>
      <c r="F21" s="17"/>
      <c r="G21" s="17"/>
      <c r="H21" s="17"/>
    </row>
    <row r="22" spans="1:10">
      <c r="A22" s="1" t="s">
        <v>196</v>
      </c>
      <c r="B22" t="s">
        <v>72</v>
      </c>
      <c r="C22" t="s">
        <v>164</v>
      </c>
      <c r="D22" s="1" t="s">
        <v>72</v>
      </c>
      <c r="E22" s="2" t="s">
        <v>197</v>
      </c>
      <c r="F22" s="17"/>
      <c r="G22" s="17"/>
      <c r="H22" s="17"/>
    </row>
    <row r="23" spans="1:10">
      <c r="A23" s="1" t="s">
        <v>198</v>
      </c>
      <c r="B23" t="s">
        <v>72</v>
      </c>
      <c r="C23" t="s">
        <v>164</v>
      </c>
      <c r="D23" s="1" t="s">
        <v>72</v>
      </c>
      <c r="E23" s="2" t="s">
        <v>199</v>
      </c>
      <c r="F23" s="17"/>
      <c r="G23" s="17"/>
      <c r="H23" s="17"/>
    </row>
    <row r="24" spans="1:10">
      <c r="A24" s="1" t="s">
        <v>200</v>
      </c>
      <c r="B24" t="s">
        <v>72</v>
      </c>
      <c r="C24" t="s">
        <v>164</v>
      </c>
      <c r="D24" s="1" t="s">
        <v>72</v>
      </c>
      <c r="E24" s="2" t="s">
        <v>201</v>
      </c>
      <c r="F24" s="17"/>
      <c r="G24" s="17"/>
      <c r="H24" s="17"/>
    </row>
    <row r="25" spans="1:10">
      <c r="A25" s="1" t="s">
        <v>202</v>
      </c>
      <c r="B25" t="s">
        <v>72</v>
      </c>
      <c r="C25" t="s">
        <v>164</v>
      </c>
      <c r="D25" s="1" t="s">
        <v>72</v>
      </c>
      <c r="E25" s="2" t="s">
        <v>203</v>
      </c>
      <c r="F25" s="17"/>
      <c r="G25" s="17"/>
      <c r="H25" s="17"/>
    </row>
    <row r="26" spans="1:10">
      <c r="A26" s="1" t="s">
        <v>204</v>
      </c>
      <c r="B26" t="s">
        <v>72</v>
      </c>
      <c r="C26" t="s">
        <v>164</v>
      </c>
      <c r="D26" s="1" t="s">
        <v>10</v>
      </c>
      <c r="E26" s="1" t="s">
        <v>205</v>
      </c>
      <c r="F26" s="17"/>
      <c r="G26" s="17"/>
      <c r="H26" s="17"/>
    </row>
    <row r="27" spans="1:10">
      <c r="A27" s="1" t="s">
        <v>206</v>
      </c>
      <c r="B27" t="s">
        <v>72</v>
      </c>
      <c r="C27" t="s">
        <v>164</v>
      </c>
      <c r="D27" s="1" t="s">
        <v>72</v>
      </c>
      <c r="E27" s="2" t="s">
        <v>207</v>
      </c>
      <c r="F27" s="17"/>
      <c r="G27" s="17"/>
      <c r="H27" s="17"/>
    </row>
    <row r="28" spans="1:10">
      <c r="A28" s="20" t="s">
        <v>208</v>
      </c>
      <c r="B28" s="19" t="s">
        <v>72</v>
      </c>
      <c r="C28" s="19" t="s">
        <v>164</v>
      </c>
      <c r="D28" s="1" t="s">
        <v>72</v>
      </c>
      <c r="E28" s="21" t="s">
        <v>209</v>
      </c>
      <c r="F28" s="22"/>
      <c r="G28" s="22"/>
      <c r="H28" s="22"/>
      <c r="I28" s="19"/>
      <c r="J28" s="19"/>
    </row>
    <row r="29" spans="1:10">
      <c r="B29" s="3">
        <f>COUNTIF(B2:B28,"Y")/27</f>
        <v>0.14814814814814814</v>
      </c>
      <c r="C29" t="s">
        <v>1617</v>
      </c>
      <c r="D29" s="18">
        <v>0.15</v>
      </c>
      <c r="E29" t="s">
        <v>1420</v>
      </c>
      <c r="F29" s="17">
        <f>MEDIAN(F2:F5)</f>
        <v>0.78449999999999998</v>
      </c>
      <c r="G29" s="17">
        <f t="shared" ref="G29:H29" si="1">MEDIAN(G2:G5)</f>
        <v>1.2</v>
      </c>
      <c r="H29" s="17">
        <f t="shared" si="1"/>
        <v>1.1444999999999999</v>
      </c>
    </row>
    <row r="30" spans="1:10">
      <c r="D30">
        <v>26</v>
      </c>
      <c r="E30" t="s">
        <v>1421</v>
      </c>
      <c r="F30" s="17">
        <f>AVERAGE(F2:F5)</f>
        <v>0.81700000000000006</v>
      </c>
      <c r="G30" s="17">
        <f t="shared" ref="G30:H30" si="2">AVERAGE(G2:G5)</f>
        <v>3.1666666666666661</v>
      </c>
      <c r="H30" s="17">
        <f t="shared" si="2"/>
        <v>2.6472499999999997</v>
      </c>
    </row>
    <row r="31" spans="1:10">
      <c r="F31" s="17"/>
      <c r="G31" s="17"/>
      <c r="H31" s="17"/>
    </row>
  </sheetData>
  <hyperlinks>
    <hyperlink ref="C2" r:id="rId1" tooltip="Brentuximab Vedotin (SGN-35)" display="https://pubmed.ncbi.nlm.nih.gov/22003070/?utm_source=chatgpt.com" xr:uid="{0D9E2952-367A-A646-AF1F-EF86F06E7EA9}"/>
    <hyperlink ref="C3" r:id="rId2" tooltip="A Study of Enfortumab Vedotin for Patients With Locally ..." display="https://www.clinicaltrials.gov/study/NCT03219333?rank=1.&amp;term=NCT03219333&amp;utm_source=chatgpt.com" xr:uid="{81C67289-BC65-DF47-A43A-3DDC1B59B4E4}"/>
    <hyperlink ref="C4" r:id="rId3" tooltip="Expanded Access Use of Tucatinib for HER2+ Metastatic ..." display="https://clinicaltrials.gov/study/NCT03424473?rank=4&amp;term=ONT-380&amp;viewType=Table&amp;utm_source=chatgpt.com" xr:uid="{00161182-C09E-C44A-90A8-3939E64F3D2F}"/>
    <hyperlink ref="E4" r:id="rId4" tooltip="Phase I dose-escalation trial of tucatinib in combination ..." display="https://pubmed.ncbi.nlm.nih.gov/32461105/?utm_source=chatgpt.com" xr:uid="{E6BD9132-2F21-C14B-890F-E399A996003A}"/>
    <hyperlink ref="C5" r:id="rId5" tooltip="A Study of Tucatinib (ONT-380) Combined With Ado ..." display="https://clinicaltrials.gov/study/NCT01983501?utm_source=chatgpt.com" xr:uid="{6C84FF69-7BB2-6744-AC17-625DF162D0BB}"/>
    <hyperlink ref="E5" r:id="rId6" tooltip="Treating Advanced Unresectable or Metastatic HER2- ..." display="https://pmc.ncbi.nlm.nih.gov/articles/PMC8164963/?utm_source=chatgpt.com" xr:uid="{D8D4D2D6-0AE4-4349-A62A-442A6AF21824}"/>
    <hyperlink ref="E6" r:id="rId7" tooltip="A phase I multidose study of dacetuzumab (SGN-40" display="https://pmc.ncbi.nlm.nih.gov/articles/PMC2864394/?utm_source=chatgpt.com" xr:uid="{DC2D96D3-BF87-F641-A2DB-3D6CC74BB4B0}"/>
    <hyperlink ref="E7" r:id="rId8" tooltip="ClinicalTrials.gov" display="https://clinicaltrials.gov/?utm_source=chatgpt.com" xr:uid="{A71CF320-4231-8241-A518-F36D6EC2082D}"/>
    <hyperlink ref="E8" r:id="rId9" tooltip="Study of SGN-30 (Antibody) in Patients With Refractory or ..." display="https://clinicaltrials.gov/study/NCT00079755?utm_source=chatgpt.com" xr:uid="{EF68FE1B-08F5-544B-94EE-20DCB335C6EA}"/>
    <hyperlink ref="E9" r:id="rId10" tooltip="Phase I trial of the anti-Lewis Y drug immunoconjugate ..." display="https://pubmed.ncbi.nlm.nih.gov/10829049/?utm_source=chatgpt.com" xr:uid="{28F6ED4A-650E-414F-BD9D-864272D1182D}"/>
    <hyperlink ref="E10" r:id="rId11" tooltip="Randomized phase II study of BR96-doxorubicin conjugate ..." display="https://pubmed.ncbi.nlm.nih.gov/10080588/?utm_source=chatgpt.com" xr:uid="{03218383-22C7-6E48-AC65-8169E4355A01}"/>
    <hyperlink ref="E11" r:id="rId12" tooltip="Vorsetuzumab Mafodotin (SGN-75) Clinical Trials" display="https://www.adcreview.com/vorsetuzumab-mafodotin-sgn-75-clinical-trials/?utm_source=chatgpt.com" xr:uid="{9CA3282E-54E7-364D-AD6A-BD8FC15B8850}"/>
    <hyperlink ref="E12" r:id="rId13" tooltip="Safety Study of SGN-CD70A in Cancer Patients - ClinicalTrials.gov" display="https://clinicaltrials.gov/study/NCT02216890?utm_source=chatgpt.com" xr:uid="{4D73CFD1-5E6A-0540-A6B0-0849BD10AA1A}"/>
    <hyperlink ref="E13" r:id="rId14" tooltip="A Safety Study of SGN-CD19A for B-Cell Lymphoma" display="https://clinicaltrials.gov/study/NCT01786135?utm_source=chatgpt.com" xr:uid="{190B5C9B-BEF2-D64D-85E2-E39F90AA762E}"/>
    <hyperlink ref="E14" r:id="rId15" tooltip="A Safety Study of SGN-CD19B in Patients With B-cell Non-Hodgkin ..." display="https://trial.medpath.com/clinical-trial/c017ce430e1ee7e1/nct02702141-phase-1-study-sgn-cd19b-b-cell-lymphoma?utm_source=chatgpt.com" xr:uid="{E69B3599-EFFE-DD4E-B8D7-CC53AA330957}"/>
    <hyperlink ref="E15" r:id="rId16" tooltip="A phase 1 trial of vadastuximab talirine as monotherapy in ..." display="https://pubmed.ncbi.nlm.nih.gov/29196412/?utm_source=chatgpt.com" xr:uid="{BA3229C0-D513-0A44-96DC-FDBD624D7A73}"/>
    <hyperlink ref="E16" r:id="rId17" tooltip="NCT02848248 : Clinical Trial Detail - CKB CORE - Genomenon" display="https://ckb-core.genomenon.com/clinicalTrial/show?nctId=NCT02848248&amp;utm_source=chatgpt.com" xr:uid="{8E259C2D-EE38-4349-AF42-1ABAF8B9B090}"/>
    <hyperlink ref="E17" r:id="rId18" tooltip="A Safety Study of SGN-CD352A for Patients With Relapsed ..." display="https://www.clinicaltrials.gov/study/NCT02954796?utm_source=chatgpt.com" xr:uid="{8BB84CDA-379D-F34D-BDDB-278BEBA14A86}"/>
    <hyperlink ref="E18" r:id="rId19" tooltip="A Safety Study of SGN-CD48A in Patients With Multiple ..." display="https://www.clinicaltrials.gov/study/NCT03379584?rank=8&amp;term=Seagen&amp;utm_source=chatgpt.com" xr:uid="{897DC5B1-01FB-2544-8C3C-1B2A73782954}"/>
    <hyperlink ref="E19" r:id="rId20" tooltip="A Safety Study of SGN-LIV1A in Breast Cancer Patients" display="https://clinicaltrials.gov/study/NCT01969643?utm_source=chatgpt.com" xr:uid="{07DE5A88-76C9-6C44-859D-17333B841A59}"/>
    <hyperlink ref="E20" r:id="rId21" tooltip="Study Details | A Phase 1 Dose Escalation Trial of ASG-5ME in ..." display="https://clinicaltrials.gov/study/NCT01166490?utm_source=chatgpt.com" xr:uid="{0808755D-E4D1-1449-A82E-3B5BD69AD43B}"/>
    <hyperlink ref="E21" r:id="rId22" tooltip="ASG-15ME is a Study of Escalating Doses of AGS15E ..." display="https://www.clinicaltrials.gov/study/NCT01963052?utm_source=chatgpt.com" xr:uid="{5ABA6F21-3783-754C-B698-5F8CFB8692E5}"/>
    <hyperlink ref="E22" r:id="rId23" tooltip="Phase 1 dose-escalation study of SEA-CD40" display="https://pubmed.ncbi.nlm.nih.gov/37385724/?utm_source=chatgpt.com" xr:uid="{1B791AF3-685B-C64D-96F2-B73F35EFB230}"/>
    <hyperlink ref="E23" r:id="rId24" tooltip="A Safety Study of SEA-BCMA in Patients With Multiple Myeloma" display="https://www.clinicaltrials.gov/study/NCT03582033?rank=6&amp;term=Seagen&amp;utm_source=chatgpt.com" xr:uid="{96DAF680-637B-BF4A-8792-1973774CDCAF}"/>
    <hyperlink ref="E24" r:id="rId25" tooltip="A Safety Study of SEA-TGT (SGN-TGT) in Advanced Cancer" display="https://clin.larvol.com/trial-detail/NCT04254107?utm_source=chatgpt.com" xr:uid="{5A32E793-17D9-E249-AF49-FA2F759BDE4B}"/>
    <hyperlink ref="E25" r:id="rId26" tooltip="A Study of Sigvotatug Vedotin in Advanced Solid Tumors" display="https://clinicaltrials.gov/study/NCT04389632?utm_source=chatgpt.com" xr:uid="{9FEE75F2-0AEF-574E-AAD0-DAD031623A86}"/>
    <hyperlink ref="E27" r:id="rId27" tooltip="First-In-Human, First-In-Class, Phase I Trial of the Fucosylation Inhibitor SGN-2FF in Patients with Advanced Solid Tumors - PubMed" display="https://pubmed.ncbi.nlm.nih.gov/34288257/" xr:uid="{6187B85B-2334-CA4E-8198-535099030127}"/>
    <hyperlink ref="E28" r:id="rId28" tooltip="SGEN - Seattle Genetics Initiates SGN-70 Phase I Clinical Trial" display="https://br.advfn.com/bolsa-de-valores/nasdaq/SGEN/share-news/27570304/seattle-genetics-initiates-sgn-70-phase-i-clinical-trial?utm_source=chatgpt.com" xr:uid="{5372CB28-570B-8240-A698-65102AACDD1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12847-523E-D14A-AF58-A14737CFA251}">
  <sheetPr>
    <tabColor theme="9" tint="0.59999389629810485"/>
  </sheetPr>
  <dimension ref="A1:N25"/>
  <sheetViews>
    <sheetView workbookViewId="0">
      <selection activeCell="F25" sqref="F25"/>
    </sheetView>
  </sheetViews>
  <sheetFormatPr baseColWidth="10" defaultRowHeight="16"/>
  <sheetData>
    <row r="1" spans="1:14">
      <c r="A1" t="s">
        <v>304</v>
      </c>
      <c r="B1" t="s">
        <v>305</v>
      </c>
      <c r="C1" t="s">
        <v>306</v>
      </c>
      <c r="D1" t="s">
        <v>2</v>
      </c>
      <c r="E1" t="s">
        <v>307</v>
      </c>
      <c r="F1" t="s">
        <v>1616</v>
      </c>
      <c r="G1" t="s">
        <v>216</v>
      </c>
      <c r="H1" t="s">
        <v>5</v>
      </c>
      <c r="I1" t="s">
        <v>6</v>
      </c>
      <c r="J1" t="s">
        <v>308</v>
      </c>
      <c r="K1" t="s">
        <v>1392</v>
      </c>
      <c r="L1" t="s">
        <v>1400</v>
      </c>
      <c r="M1" t="s">
        <v>1148</v>
      </c>
      <c r="N1" t="s">
        <v>8</v>
      </c>
    </row>
    <row r="2" spans="1:14">
      <c r="A2" t="s">
        <v>309</v>
      </c>
      <c r="B2" t="s">
        <v>310</v>
      </c>
      <c r="C2" t="s">
        <v>311</v>
      </c>
      <c r="D2" t="s">
        <v>10</v>
      </c>
      <c r="E2" s="4">
        <v>43322</v>
      </c>
      <c r="F2" s="4"/>
      <c r="G2" t="s">
        <v>312</v>
      </c>
      <c r="H2" t="s">
        <v>313</v>
      </c>
      <c r="I2" t="s">
        <v>314</v>
      </c>
      <c r="J2" s="17">
        <v>0.35499999999999998</v>
      </c>
      <c r="K2" s="17">
        <v>1.8</v>
      </c>
      <c r="L2" s="17">
        <f>MAX(K2,J2)</f>
        <v>1.8</v>
      </c>
      <c r="M2" t="s">
        <v>1386</v>
      </c>
      <c r="N2" t="s">
        <v>315</v>
      </c>
    </row>
    <row r="3" spans="1:14">
      <c r="A3" t="s">
        <v>316</v>
      </c>
      <c r="B3" t="s">
        <v>317</v>
      </c>
      <c r="C3" t="s">
        <v>318</v>
      </c>
      <c r="D3" t="s">
        <v>10</v>
      </c>
      <c r="E3" s="4">
        <v>44725</v>
      </c>
      <c r="F3" s="4"/>
      <c r="G3" t="s">
        <v>319</v>
      </c>
      <c r="H3" t="s">
        <v>313</v>
      </c>
      <c r="I3" t="s">
        <v>320</v>
      </c>
      <c r="J3" s="17">
        <v>0.97</v>
      </c>
      <c r="K3" s="17">
        <v>3.55</v>
      </c>
      <c r="L3" s="17">
        <f t="shared" ref="L3:L7" si="0">MAX(K3,J3)</f>
        <v>3.55</v>
      </c>
      <c r="M3" t="s">
        <v>1387</v>
      </c>
      <c r="N3" t="s">
        <v>321</v>
      </c>
    </row>
    <row r="4" spans="1:14">
      <c r="A4" t="s">
        <v>322</v>
      </c>
      <c r="B4" t="s">
        <v>323</v>
      </c>
      <c r="C4" t="s">
        <v>324</v>
      </c>
      <c r="D4" t="s">
        <v>10</v>
      </c>
      <c r="E4" s="4">
        <v>43789</v>
      </c>
      <c r="F4" s="4"/>
      <c r="G4" t="s">
        <v>325</v>
      </c>
      <c r="H4" t="s">
        <v>326</v>
      </c>
      <c r="I4" t="s">
        <v>327</v>
      </c>
      <c r="J4" s="17">
        <v>0.25600000000000001</v>
      </c>
      <c r="K4" s="17">
        <v>0.56000000000000005</v>
      </c>
      <c r="L4" s="17">
        <f t="shared" si="0"/>
        <v>0.56000000000000005</v>
      </c>
      <c r="M4" t="s">
        <v>1388</v>
      </c>
    </row>
    <row r="5" spans="1:14">
      <c r="A5" t="s">
        <v>328</v>
      </c>
      <c r="B5" t="s">
        <v>329</v>
      </c>
      <c r="C5" t="s">
        <v>330</v>
      </c>
      <c r="D5" t="s">
        <v>10</v>
      </c>
      <c r="E5" s="4">
        <v>44158</v>
      </c>
      <c r="F5" s="4"/>
      <c r="G5" t="s">
        <v>331</v>
      </c>
      <c r="H5" t="s">
        <v>332</v>
      </c>
      <c r="I5" t="s">
        <v>333</v>
      </c>
      <c r="J5" s="17">
        <v>0.16700000000000001</v>
      </c>
      <c r="K5" s="17">
        <v>0.47499999999999998</v>
      </c>
      <c r="L5" s="17">
        <f t="shared" si="0"/>
        <v>0.47499999999999998</v>
      </c>
      <c r="M5" t="s">
        <v>1389</v>
      </c>
      <c r="N5" t="s">
        <v>334</v>
      </c>
    </row>
    <row r="6" spans="1:14">
      <c r="A6" t="s">
        <v>335</v>
      </c>
      <c r="B6" t="s">
        <v>336</v>
      </c>
      <c r="C6" t="s">
        <v>337</v>
      </c>
      <c r="D6" t="s">
        <v>10</v>
      </c>
      <c r="E6" s="4">
        <v>44552</v>
      </c>
      <c r="F6" s="4"/>
      <c r="G6" t="s">
        <v>338</v>
      </c>
      <c r="H6" t="s">
        <v>339</v>
      </c>
      <c r="I6" t="s">
        <v>340</v>
      </c>
      <c r="J6" s="17">
        <v>0.754</v>
      </c>
      <c r="K6" s="17">
        <v>4.25</v>
      </c>
      <c r="L6" s="17">
        <f t="shared" si="0"/>
        <v>4.25</v>
      </c>
      <c r="M6" t="s">
        <v>1390</v>
      </c>
      <c r="N6" t="s">
        <v>341</v>
      </c>
    </row>
    <row r="7" spans="1:14">
      <c r="A7" t="s">
        <v>342</v>
      </c>
      <c r="B7" t="s">
        <v>343</v>
      </c>
      <c r="C7" t="s">
        <v>344</v>
      </c>
      <c r="D7" t="s">
        <v>10</v>
      </c>
      <c r="E7" s="4">
        <v>45744</v>
      </c>
      <c r="F7" s="4"/>
      <c r="G7" t="s">
        <v>345</v>
      </c>
      <c r="H7" t="s">
        <v>346</v>
      </c>
      <c r="I7" t="s">
        <v>347</v>
      </c>
      <c r="J7" s="17"/>
      <c r="K7" s="17">
        <v>1.3</v>
      </c>
      <c r="L7" s="17">
        <f t="shared" si="0"/>
        <v>1.3</v>
      </c>
      <c r="M7" t="s">
        <v>1391</v>
      </c>
      <c r="N7" t="s">
        <v>348</v>
      </c>
    </row>
    <row r="8" spans="1:14">
      <c r="A8" t="s">
        <v>349</v>
      </c>
      <c r="B8" t="s">
        <v>350</v>
      </c>
      <c r="D8" t="s">
        <v>72</v>
      </c>
      <c r="F8" t="s">
        <v>72</v>
      </c>
      <c r="G8" t="s">
        <v>351</v>
      </c>
      <c r="H8" t="s">
        <v>352</v>
      </c>
      <c r="I8" t="s">
        <v>353</v>
      </c>
      <c r="N8" t="s">
        <v>354</v>
      </c>
    </row>
    <row r="9" spans="1:14">
      <c r="A9" t="s">
        <v>355</v>
      </c>
      <c r="B9" t="s">
        <v>356</v>
      </c>
      <c r="D9" t="s">
        <v>72</v>
      </c>
      <c r="F9" t="s">
        <v>72</v>
      </c>
      <c r="G9" t="s">
        <v>357</v>
      </c>
      <c r="H9" t="s">
        <v>358</v>
      </c>
      <c r="I9" t="s">
        <v>359</v>
      </c>
      <c r="N9" t="s">
        <v>360</v>
      </c>
    </row>
    <row r="10" spans="1:14">
      <c r="A10" t="s">
        <v>361</v>
      </c>
      <c r="B10" t="s">
        <v>362</v>
      </c>
      <c r="D10" t="s">
        <v>72</v>
      </c>
      <c r="F10" t="s">
        <v>72</v>
      </c>
      <c r="G10" t="s">
        <v>363</v>
      </c>
      <c r="H10" t="s">
        <v>364</v>
      </c>
      <c r="I10" t="s">
        <v>365</v>
      </c>
      <c r="N10" t="s">
        <v>366</v>
      </c>
    </row>
    <row r="11" spans="1:14">
      <c r="A11" t="s">
        <v>367</v>
      </c>
      <c r="B11" t="s">
        <v>368</v>
      </c>
      <c r="D11" t="s">
        <v>72</v>
      </c>
      <c r="F11" t="s">
        <v>72</v>
      </c>
      <c r="G11" t="s">
        <v>369</v>
      </c>
      <c r="H11" t="s">
        <v>370</v>
      </c>
      <c r="I11" t="s">
        <v>371</v>
      </c>
      <c r="N11" t="s">
        <v>372</v>
      </c>
    </row>
    <row r="12" spans="1:14">
      <c r="A12" t="s">
        <v>373</v>
      </c>
      <c r="B12" t="s">
        <v>374</v>
      </c>
      <c r="D12" t="s">
        <v>72</v>
      </c>
      <c r="F12" t="s">
        <v>72</v>
      </c>
      <c r="G12" t="s">
        <v>375</v>
      </c>
      <c r="H12" t="s">
        <v>376</v>
      </c>
      <c r="I12" t="s">
        <v>377</v>
      </c>
      <c r="N12" t="s">
        <v>378</v>
      </c>
    </row>
    <row r="13" spans="1:14">
      <c r="A13" t="s">
        <v>379</v>
      </c>
      <c r="B13" t="s">
        <v>380</v>
      </c>
      <c r="D13" t="s">
        <v>72</v>
      </c>
      <c r="F13" t="s">
        <v>10</v>
      </c>
      <c r="G13" t="s">
        <v>381</v>
      </c>
      <c r="H13" t="s">
        <v>382</v>
      </c>
      <c r="I13" t="s">
        <v>383</v>
      </c>
      <c r="N13" t="s">
        <v>384</v>
      </c>
    </row>
    <row r="14" spans="1:14">
      <c r="A14" t="s">
        <v>385</v>
      </c>
      <c r="B14" t="s">
        <v>386</v>
      </c>
      <c r="D14" t="s">
        <v>72</v>
      </c>
      <c r="F14" t="s">
        <v>10</v>
      </c>
      <c r="G14" t="s">
        <v>387</v>
      </c>
      <c r="H14" t="s">
        <v>388</v>
      </c>
      <c r="I14" t="s">
        <v>389</v>
      </c>
    </row>
    <row r="15" spans="1:14">
      <c r="A15" t="s">
        <v>1520</v>
      </c>
      <c r="B15" t="s">
        <v>390</v>
      </c>
      <c r="D15" t="s">
        <v>72</v>
      </c>
      <c r="F15" t="s">
        <v>10</v>
      </c>
      <c r="G15" t="s">
        <v>391</v>
      </c>
      <c r="H15" t="s">
        <v>392</v>
      </c>
      <c r="I15" t="s">
        <v>393</v>
      </c>
      <c r="N15" t="s">
        <v>394</v>
      </c>
    </row>
    <row r="16" spans="1:14">
      <c r="A16" t="s">
        <v>1521</v>
      </c>
      <c r="B16" t="s">
        <v>395</v>
      </c>
      <c r="D16" t="s">
        <v>72</v>
      </c>
      <c r="F16" t="s">
        <v>72</v>
      </c>
      <c r="G16" t="s">
        <v>396</v>
      </c>
      <c r="H16" t="s">
        <v>1522</v>
      </c>
      <c r="I16" t="s">
        <v>1593</v>
      </c>
      <c r="N16" t="s">
        <v>378</v>
      </c>
    </row>
    <row r="17" spans="1:14">
      <c r="A17" t="s">
        <v>1523</v>
      </c>
      <c r="B17" t="s">
        <v>397</v>
      </c>
      <c r="D17" t="s">
        <v>72</v>
      </c>
      <c r="F17" t="s">
        <v>72</v>
      </c>
      <c r="G17" t="s">
        <v>398</v>
      </c>
      <c r="H17" t="s">
        <v>399</v>
      </c>
      <c r="I17" t="s">
        <v>1593</v>
      </c>
      <c r="N17" t="s">
        <v>400</v>
      </c>
    </row>
    <row r="18" spans="1:14">
      <c r="A18" t="s">
        <v>401</v>
      </c>
      <c r="B18" t="s">
        <v>402</v>
      </c>
      <c r="D18" t="s">
        <v>72</v>
      </c>
      <c r="F18" t="s">
        <v>10</v>
      </c>
      <c r="G18" t="s">
        <v>403</v>
      </c>
      <c r="H18" t="s">
        <v>404</v>
      </c>
      <c r="I18" t="s">
        <v>405</v>
      </c>
      <c r="N18" t="s">
        <v>406</v>
      </c>
    </row>
    <row r="19" spans="1:14">
      <c r="A19" t="s">
        <v>407</v>
      </c>
      <c r="B19" t="s">
        <v>408</v>
      </c>
      <c r="D19" t="s">
        <v>72</v>
      </c>
      <c r="F19" t="s">
        <v>10</v>
      </c>
      <c r="G19" t="s">
        <v>409</v>
      </c>
      <c r="H19" t="s">
        <v>1524</v>
      </c>
      <c r="I19" t="s">
        <v>410</v>
      </c>
    </row>
    <row r="20" spans="1:14">
      <c r="A20" t="s">
        <v>411</v>
      </c>
      <c r="B20" t="s">
        <v>412</v>
      </c>
      <c r="D20" t="s">
        <v>72</v>
      </c>
      <c r="F20" t="s">
        <v>10</v>
      </c>
      <c r="G20" t="s">
        <v>413</v>
      </c>
      <c r="H20" t="s">
        <v>1525</v>
      </c>
      <c r="I20" t="s">
        <v>414</v>
      </c>
      <c r="N20" t="s">
        <v>1526</v>
      </c>
    </row>
    <row r="21" spans="1:14">
      <c r="A21" t="s">
        <v>415</v>
      </c>
      <c r="B21" t="s">
        <v>416</v>
      </c>
      <c r="D21" t="s">
        <v>72</v>
      </c>
      <c r="F21" t="s">
        <v>10</v>
      </c>
      <c r="G21" t="s">
        <v>417</v>
      </c>
      <c r="H21" t="s">
        <v>418</v>
      </c>
      <c r="I21" t="s">
        <v>419</v>
      </c>
    </row>
    <row r="22" spans="1:14">
      <c r="A22" t="s">
        <v>420</v>
      </c>
      <c r="B22" t="s">
        <v>421</v>
      </c>
      <c r="D22" t="s">
        <v>72</v>
      </c>
      <c r="F22" t="s">
        <v>10</v>
      </c>
      <c r="G22" t="s">
        <v>422</v>
      </c>
      <c r="H22" t="s">
        <v>423</v>
      </c>
      <c r="I22" t="s">
        <v>424</v>
      </c>
      <c r="N22" t="s">
        <v>425</v>
      </c>
    </row>
    <row r="23" spans="1:14">
      <c r="A23" s="19" t="s">
        <v>426</v>
      </c>
      <c r="B23" s="19" t="s">
        <v>427</v>
      </c>
      <c r="C23" s="19"/>
      <c r="D23" s="19" t="s">
        <v>72</v>
      </c>
      <c r="E23" s="19"/>
      <c r="F23" s="19" t="s">
        <v>10</v>
      </c>
      <c r="G23" s="19" t="s">
        <v>428</v>
      </c>
      <c r="H23" s="19" t="s">
        <v>1527</v>
      </c>
      <c r="I23" s="19" t="s">
        <v>429</v>
      </c>
      <c r="J23" s="19"/>
      <c r="K23" s="19"/>
      <c r="L23" s="19"/>
      <c r="M23" s="19"/>
      <c r="N23" s="19" t="s">
        <v>1528</v>
      </c>
    </row>
    <row r="24" spans="1:14">
      <c r="D24" s="3">
        <f>6/22</f>
        <v>0.27272727272727271</v>
      </c>
      <c r="E24" t="s">
        <v>1617</v>
      </c>
      <c r="F24" s="18">
        <v>0.46</v>
      </c>
      <c r="I24" t="s">
        <v>1420</v>
      </c>
      <c r="J24" s="17">
        <f>MEDIAN(J2:J6)</f>
        <v>0.35499999999999998</v>
      </c>
      <c r="K24" s="17">
        <f>MEDIAN(K2:K7)</f>
        <v>1.55</v>
      </c>
      <c r="L24" s="17">
        <f>MEDIAN(L2:L7)</f>
        <v>1.55</v>
      </c>
    </row>
    <row r="25" spans="1:14">
      <c r="F25">
        <v>13</v>
      </c>
      <c r="I25" t="s">
        <v>1421</v>
      </c>
      <c r="J25" s="17">
        <f>AVERAGE(J2:J7)</f>
        <v>0.50039999999999996</v>
      </c>
      <c r="K25" s="17">
        <f t="shared" ref="K25:L25" si="1">AVERAGE(K2:K7)</f>
        <v>1.9891666666666667</v>
      </c>
      <c r="L25" s="17">
        <f t="shared" si="1"/>
        <v>1.9891666666666667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30AE0-4A20-C241-A52B-20286D187B38}">
  <sheetPr>
    <tabColor theme="9" tint="0.59999389629810485"/>
  </sheetPr>
  <dimension ref="A1:M47"/>
  <sheetViews>
    <sheetView workbookViewId="0">
      <selection activeCell="D47" sqref="D47"/>
    </sheetView>
  </sheetViews>
  <sheetFormatPr baseColWidth="10" defaultRowHeight="16"/>
  <sheetData>
    <row r="1" spans="1:13">
      <c r="A1" s="11" t="s">
        <v>0</v>
      </c>
      <c r="B1" s="12" t="s">
        <v>2</v>
      </c>
      <c r="C1" s="12" t="s">
        <v>430</v>
      </c>
      <c r="D1" s="12" t="s">
        <v>1616</v>
      </c>
      <c r="E1" s="12" t="s">
        <v>431</v>
      </c>
      <c r="F1" s="12" t="s">
        <v>5</v>
      </c>
      <c r="G1" s="12" t="s">
        <v>6</v>
      </c>
      <c r="H1" s="11" t="s">
        <v>432</v>
      </c>
      <c r="I1" s="11" t="s">
        <v>1032</v>
      </c>
      <c r="J1" s="11" t="s">
        <v>1400</v>
      </c>
      <c r="K1" s="11" t="s">
        <v>1033</v>
      </c>
      <c r="L1" s="11" t="s">
        <v>1031</v>
      </c>
      <c r="M1" s="11" t="s">
        <v>8</v>
      </c>
    </row>
    <row r="2" spans="1:13">
      <c r="A2" s="10" t="s">
        <v>792</v>
      </c>
      <c r="B2" s="10" t="s">
        <v>10</v>
      </c>
      <c r="C2" s="10" t="s">
        <v>793</v>
      </c>
      <c r="D2" s="10"/>
      <c r="E2" s="10"/>
      <c r="F2" s="10" t="s">
        <v>794</v>
      </c>
      <c r="G2" s="10" t="s">
        <v>795</v>
      </c>
      <c r="H2" t="s">
        <v>1034</v>
      </c>
      <c r="L2" t="s">
        <v>1035</v>
      </c>
      <c r="M2" t="s">
        <v>1036</v>
      </c>
    </row>
    <row r="3" spans="1:13">
      <c r="A3" s="10" t="s">
        <v>796</v>
      </c>
      <c r="B3" s="10" t="s">
        <v>797</v>
      </c>
      <c r="C3" s="10" t="s">
        <v>798</v>
      </c>
      <c r="D3" s="10"/>
      <c r="E3" s="10"/>
      <c r="F3" s="10" t="s">
        <v>799</v>
      </c>
      <c r="G3" s="10" t="s">
        <v>800</v>
      </c>
      <c r="H3" t="s">
        <v>1034</v>
      </c>
      <c r="L3" t="s">
        <v>1037</v>
      </c>
      <c r="M3" t="s">
        <v>1038</v>
      </c>
    </row>
    <row r="4" spans="1:13">
      <c r="A4" s="10" t="s">
        <v>801</v>
      </c>
      <c r="B4" s="10" t="s">
        <v>10</v>
      </c>
      <c r="C4" s="10" t="s">
        <v>802</v>
      </c>
      <c r="D4" s="10"/>
      <c r="E4" s="10" t="s">
        <v>803</v>
      </c>
      <c r="F4" s="10" t="s">
        <v>804</v>
      </c>
      <c r="G4" s="10" t="s">
        <v>805</v>
      </c>
      <c r="H4" s="17">
        <v>2.1</v>
      </c>
      <c r="I4" s="17"/>
      <c r="J4" s="17">
        <f>MAX(I4,H4)</f>
        <v>2.1</v>
      </c>
      <c r="L4" t="s">
        <v>1039</v>
      </c>
      <c r="M4" t="s">
        <v>1040</v>
      </c>
    </row>
    <row r="5" spans="1:13">
      <c r="A5" s="10" t="s">
        <v>806</v>
      </c>
      <c r="B5" s="10" t="s">
        <v>10</v>
      </c>
      <c r="C5" s="10" t="s">
        <v>807</v>
      </c>
      <c r="D5" s="10"/>
      <c r="E5" s="10" t="s">
        <v>808</v>
      </c>
      <c r="F5" s="10" t="s">
        <v>809</v>
      </c>
      <c r="G5" s="10" t="s">
        <v>314</v>
      </c>
      <c r="H5" s="17">
        <v>0.03</v>
      </c>
      <c r="I5" s="17"/>
      <c r="J5" s="17">
        <f t="shared" ref="J5:J10" si="0">MAX(I5,H5)</f>
        <v>0.03</v>
      </c>
      <c r="L5" t="s">
        <v>1041</v>
      </c>
      <c r="M5" t="s">
        <v>1042</v>
      </c>
    </row>
    <row r="6" spans="1:13">
      <c r="A6" s="10" t="s">
        <v>810</v>
      </c>
      <c r="B6" s="10" t="s">
        <v>811</v>
      </c>
      <c r="C6" s="10" t="s">
        <v>812</v>
      </c>
      <c r="D6" s="10"/>
      <c r="E6" s="10" t="s">
        <v>813</v>
      </c>
      <c r="F6" s="10" t="s">
        <v>814</v>
      </c>
      <c r="G6" s="10" t="s">
        <v>815</v>
      </c>
      <c r="H6" s="17">
        <v>0.02</v>
      </c>
      <c r="I6" s="17"/>
      <c r="J6" s="17">
        <f t="shared" si="0"/>
        <v>0.02</v>
      </c>
      <c r="L6" t="s">
        <v>1043</v>
      </c>
      <c r="M6" t="s">
        <v>1044</v>
      </c>
    </row>
    <row r="7" spans="1:13">
      <c r="A7" s="10" t="s">
        <v>816</v>
      </c>
      <c r="B7" s="10" t="s">
        <v>817</v>
      </c>
      <c r="C7" s="10" t="s">
        <v>818</v>
      </c>
      <c r="D7" s="10"/>
      <c r="E7" s="10" t="s">
        <v>819</v>
      </c>
      <c r="F7" s="10" t="s">
        <v>820</v>
      </c>
      <c r="G7" s="10" t="s">
        <v>821</v>
      </c>
      <c r="H7" s="17">
        <v>3.2000000000000001E-2</v>
      </c>
      <c r="I7" s="17">
        <v>0.15</v>
      </c>
      <c r="J7" s="17">
        <f t="shared" si="0"/>
        <v>0.15</v>
      </c>
      <c r="K7" t="s">
        <v>1046</v>
      </c>
      <c r="L7" t="s">
        <v>1045</v>
      </c>
      <c r="M7" t="s">
        <v>1047</v>
      </c>
    </row>
    <row r="8" spans="1:13">
      <c r="A8" s="10" t="s">
        <v>822</v>
      </c>
      <c r="B8" s="10" t="s">
        <v>10</v>
      </c>
      <c r="C8" s="10" t="s">
        <v>823</v>
      </c>
      <c r="D8" s="10"/>
      <c r="E8" s="10" t="s">
        <v>824</v>
      </c>
      <c r="F8" s="10" t="s">
        <v>825</v>
      </c>
      <c r="G8" s="10" t="s">
        <v>314</v>
      </c>
      <c r="H8" s="17">
        <v>8.5000000000000006E-2</v>
      </c>
      <c r="I8" s="17">
        <v>0.75</v>
      </c>
      <c r="J8" s="17">
        <f t="shared" si="0"/>
        <v>0.75</v>
      </c>
      <c r="K8" t="s">
        <v>1049</v>
      </c>
      <c r="L8" t="s">
        <v>1048</v>
      </c>
      <c r="M8" t="s">
        <v>1050</v>
      </c>
    </row>
    <row r="9" spans="1:13">
      <c r="A9" s="10" t="s">
        <v>826</v>
      </c>
      <c r="B9" s="10" t="s">
        <v>10</v>
      </c>
      <c r="C9" s="10" t="s">
        <v>827</v>
      </c>
      <c r="D9" s="10"/>
      <c r="E9" s="10"/>
      <c r="F9" s="10" t="s">
        <v>828</v>
      </c>
      <c r="G9" s="10" t="s">
        <v>815</v>
      </c>
      <c r="H9" s="17"/>
      <c r="I9" s="17">
        <v>0.34100000000000003</v>
      </c>
      <c r="J9" s="17">
        <f t="shared" si="0"/>
        <v>0.34100000000000003</v>
      </c>
      <c r="K9" t="s">
        <v>1051</v>
      </c>
      <c r="M9" t="s">
        <v>1052</v>
      </c>
    </row>
    <row r="10" spans="1:13">
      <c r="A10" s="10" t="s">
        <v>829</v>
      </c>
      <c r="B10" s="10" t="s">
        <v>10</v>
      </c>
      <c r="C10" s="10" t="s">
        <v>830</v>
      </c>
      <c r="D10" s="10"/>
      <c r="E10" s="10"/>
      <c r="F10" s="10" t="s">
        <v>831</v>
      </c>
      <c r="G10" s="10" t="s">
        <v>832</v>
      </c>
      <c r="H10" s="17"/>
      <c r="I10" s="17">
        <v>0.50900000000000001</v>
      </c>
      <c r="J10" s="17">
        <f t="shared" si="0"/>
        <v>0.50900000000000001</v>
      </c>
      <c r="K10" t="s">
        <v>1053</v>
      </c>
      <c r="M10" t="s">
        <v>1054</v>
      </c>
    </row>
    <row r="11" spans="1:13">
      <c r="A11" s="10" t="s">
        <v>833</v>
      </c>
      <c r="B11" s="10" t="s">
        <v>72</v>
      </c>
      <c r="C11" s="10"/>
      <c r="D11" t="s">
        <v>10</v>
      </c>
      <c r="E11" s="10" t="s">
        <v>834</v>
      </c>
      <c r="F11" s="10" t="s">
        <v>835</v>
      </c>
      <c r="G11" s="10" t="s">
        <v>836</v>
      </c>
      <c r="H11" s="10"/>
      <c r="L11" s="10"/>
    </row>
    <row r="12" spans="1:13">
      <c r="A12" s="10" t="s">
        <v>837</v>
      </c>
      <c r="B12" s="10" t="s">
        <v>72</v>
      </c>
      <c r="C12" s="10"/>
      <c r="D12" t="s">
        <v>10</v>
      </c>
      <c r="E12" s="10"/>
      <c r="F12" s="10" t="s">
        <v>838</v>
      </c>
      <c r="G12" s="10" t="s">
        <v>839</v>
      </c>
      <c r="H12" s="10"/>
      <c r="L12" s="10"/>
    </row>
    <row r="13" spans="1:13">
      <c r="A13" s="10" t="s">
        <v>840</v>
      </c>
      <c r="B13" s="10" t="s">
        <v>72</v>
      </c>
      <c r="C13" s="10"/>
      <c r="D13" t="s">
        <v>10</v>
      </c>
      <c r="E13" s="10"/>
      <c r="F13" s="10" t="s">
        <v>841</v>
      </c>
      <c r="G13" s="10" t="s">
        <v>842</v>
      </c>
      <c r="H13" s="10"/>
      <c r="L13" s="10"/>
    </row>
    <row r="14" spans="1:13">
      <c r="A14" s="10" t="s">
        <v>843</v>
      </c>
      <c r="B14" s="10" t="s">
        <v>72</v>
      </c>
      <c r="C14" s="10"/>
      <c r="D14" t="s">
        <v>10</v>
      </c>
      <c r="E14" s="10"/>
      <c r="F14" s="10" t="s">
        <v>844</v>
      </c>
      <c r="G14" s="10" t="s">
        <v>845</v>
      </c>
      <c r="H14" s="10"/>
      <c r="L14" s="10"/>
    </row>
    <row r="15" spans="1:13">
      <c r="A15" s="10" t="s">
        <v>846</v>
      </c>
      <c r="B15" s="10" t="s">
        <v>847</v>
      </c>
      <c r="C15" s="10"/>
      <c r="D15" t="s">
        <v>72</v>
      </c>
      <c r="E15" s="10"/>
      <c r="F15" s="10" t="s">
        <v>848</v>
      </c>
      <c r="G15" s="10" t="s">
        <v>849</v>
      </c>
      <c r="H15" s="10"/>
      <c r="L15" s="10"/>
    </row>
    <row r="16" spans="1:13">
      <c r="A16" s="10" t="s">
        <v>850</v>
      </c>
      <c r="B16" s="10" t="s">
        <v>851</v>
      </c>
      <c r="C16" s="10"/>
      <c r="D16" t="s">
        <v>72</v>
      </c>
      <c r="E16" s="10"/>
      <c r="F16" s="10" t="s">
        <v>852</v>
      </c>
      <c r="G16" s="10" t="s">
        <v>853</v>
      </c>
      <c r="H16" s="10"/>
      <c r="L16" s="10"/>
    </row>
    <row r="17" spans="1:13">
      <c r="A17" s="10" t="s">
        <v>854</v>
      </c>
      <c r="B17" s="10" t="s">
        <v>72</v>
      </c>
      <c r="C17" s="10"/>
      <c r="D17" t="s">
        <v>10</v>
      </c>
      <c r="E17" s="10"/>
      <c r="F17" s="10" t="s">
        <v>855</v>
      </c>
      <c r="G17" s="10" t="s">
        <v>856</v>
      </c>
      <c r="H17" s="10"/>
      <c r="L17" s="10"/>
    </row>
    <row r="18" spans="1:13">
      <c r="A18" s="10" t="s">
        <v>857</v>
      </c>
      <c r="B18" s="10" t="s">
        <v>72</v>
      </c>
      <c r="C18" s="10"/>
      <c r="D18" t="s">
        <v>10</v>
      </c>
      <c r="E18" s="10"/>
      <c r="F18" s="10" t="s">
        <v>858</v>
      </c>
      <c r="G18" s="10" t="s">
        <v>859</v>
      </c>
      <c r="H18" s="10"/>
      <c r="L18" s="10"/>
    </row>
    <row r="19" spans="1:13">
      <c r="A19" s="10" t="s">
        <v>860</v>
      </c>
      <c r="B19" s="10" t="s">
        <v>72</v>
      </c>
      <c r="C19" s="10"/>
      <c r="D19" t="s">
        <v>10</v>
      </c>
      <c r="E19" s="10"/>
      <c r="F19" s="10" t="s">
        <v>861</v>
      </c>
      <c r="G19" s="10" t="s">
        <v>862</v>
      </c>
      <c r="H19" s="10"/>
      <c r="L19" s="10"/>
    </row>
    <row r="20" spans="1:13">
      <c r="A20" s="10" t="s">
        <v>863</v>
      </c>
      <c r="B20" s="10" t="s">
        <v>72</v>
      </c>
      <c r="C20" s="10"/>
      <c r="D20" t="s">
        <v>10</v>
      </c>
      <c r="E20" s="10"/>
      <c r="F20" s="10" t="s">
        <v>864</v>
      </c>
      <c r="G20" s="10" t="s">
        <v>865</v>
      </c>
      <c r="H20" s="10"/>
      <c r="L20" s="10"/>
    </row>
    <row r="21" spans="1:13">
      <c r="A21" s="10" t="s">
        <v>866</v>
      </c>
      <c r="B21" s="10" t="s">
        <v>72</v>
      </c>
      <c r="C21" s="10"/>
      <c r="D21" t="s">
        <v>72</v>
      </c>
      <c r="E21" s="10"/>
      <c r="F21" s="10" t="s">
        <v>867</v>
      </c>
      <c r="G21" s="10" t="s">
        <v>868</v>
      </c>
      <c r="H21" s="10"/>
      <c r="L21" s="10"/>
    </row>
    <row r="22" spans="1:13">
      <c r="A22" s="10" t="s">
        <v>869</v>
      </c>
      <c r="B22" s="10" t="s">
        <v>72</v>
      </c>
      <c r="C22" s="10"/>
      <c r="D22" t="s">
        <v>72</v>
      </c>
      <c r="E22" s="10"/>
      <c r="F22" s="10" t="s">
        <v>870</v>
      </c>
      <c r="G22" s="10" t="s">
        <v>389</v>
      </c>
      <c r="H22" s="10"/>
      <c r="L22" s="10"/>
    </row>
    <row r="23" spans="1:13">
      <c r="A23" s="10" t="s">
        <v>871</v>
      </c>
      <c r="B23" s="10" t="s">
        <v>872</v>
      </c>
      <c r="C23" s="10"/>
      <c r="D23" t="s">
        <v>72</v>
      </c>
      <c r="E23" s="10"/>
      <c r="F23" s="10" t="s">
        <v>873</v>
      </c>
      <c r="G23" s="10" t="s">
        <v>874</v>
      </c>
      <c r="H23" s="10"/>
      <c r="L23" s="10"/>
    </row>
    <row r="24" spans="1:13">
      <c r="A24" s="10" t="s">
        <v>875</v>
      </c>
      <c r="B24" s="10" t="s">
        <v>872</v>
      </c>
      <c r="C24" s="10"/>
      <c r="D24" t="s">
        <v>72</v>
      </c>
      <c r="E24" s="10"/>
      <c r="F24" s="10" t="s">
        <v>876</v>
      </c>
      <c r="G24" s="10" t="s">
        <v>877</v>
      </c>
      <c r="H24" s="10"/>
      <c r="L24" s="10"/>
    </row>
    <row r="25" spans="1:13">
      <c r="A25" s="10" t="s">
        <v>878</v>
      </c>
      <c r="B25" s="10" t="s">
        <v>72</v>
      </c>
      <c r="C25" s="10"/>
      <c r="D25" t="s">
        <v>72</v>
      </c>
      <c r="E25" s="10"/>
      <c r="F25" s="10" t="s">
        <v>879</v>
      </c>
      <c r="G25" s="10" t="s">
        <v>880</v>
      </c>
      <c r="H25" s="10"/>
      <c r="L25" s="10"/>
    </row>
    <row r="26" spans="1:13">
      <c r="A26" s="10" t="s">
        <v>881</v>
      </c>
      <c r="B26" s="10" t="s">
        <v>72</v>
      </c>
      <c r="C26" s="10"/>
      <c r="D26" t="s">
        <v>10</v>
      </c>
      <c r="E26" s="10"/>
      <c r="F26" s="10" t="s">
        <v>882</v>
      </c>
      <c r="G26" s="10" t="s">
        <v>883</v>
      </c>
      <c r="H26" s="10"/>
      <c r="L26" s="10"/>
    </row>
    <row r="27" spans="1:13">
      <c r="A27" s="10" t="s">
        <v>884</v>
      </c>
      <c r="B27" s="10" t="s">
        <v>885</v>
      </c>
      <c r="C27" s="10"/>
      <c r="D27" t="s">
        <v>72</v>
      </c>
      <c r="E27" s="10"/>
      <c r="F27" s="10" t="s">
        <v>886</v>
      </c>
      <c r="G27" s="10" t="s">
        <v>887</v>
      </c>
      <c r="H27" s="10"/>
      <c r="L27" s="10"/>
    </row>
    <row r="28" spans="1:13">
      <c r="A28" s="10" t="s">
        <v>888</v>
      </c>
      <c r="B28" s="10" t="s">
        <v>72</v>
      </c>
      <c r="C28" s="10"/>
      <c r="D28" t="s">
        <v>72</v>
      </c>
      <c r="E28" s="10"/>
      <c r="F28" s="10" t="s">
        <v>889</v>
      </c>
      <c r="G28" s="10" t="s">
        <v>890</v>
      </c>
      <c r="H28" s="10"/>
      <c r="L28" s="10"/>
    </row>
    <row r="29" spans="1:13">
      <c r="A29" s="10" t="s">
        <v>891</v>
      </c>
      <c r="B29" s="10" t="s">
        <v>72</v>
      </c>
      <c r="C29" s="10"/>
      <c r="D29" t="s">
        <v>72</v>
      </c>
      <c r="E29" s="10"/>
      <c r="F29" s="10" t="s">
        <v>892</v>
      </c>
      <c r="G29" s="10" t="s">
        <v>893</v>
      </c>
      <c r="H29" s="10"/>
      <c r="L29" s="10"/>
    </row>
    <row r="30" spans="1:13">
      <c r="A30" s="10" t="s">
        <v>894</v>
      </c>
      <c r="B30" s="10" t="s">
        <v>72</v>
      </c>
      <c r="C30" s="10"/>
      <c r="D30" t="s">
        <v>72</v>
      </c>
      <c r="E30" s="10" t="s">
        <v>895</v>
      </c>
      <c r="F30" s="10" t="s">
        <v>896</v>
      </c>
      <c r="G30" s="10" t="s">
        <v>897</v>
      </c>
      <c r="H30" s="10"/>
      <c r="L30" s="10"/>
      <c r="M30" t="s">
        <v>1055</v>
      </c>
    </row>
    <row r="31" spans="1:13">
      <c r="A31" s="10" t="s">
        <v>898</v>
      </c>
      <c r="B31" s="10" t="s">
        <v>72</v>
      </c>
      <c r="C31" s="10"/>
      <c r="D31" t="s">
        <v>72</v>
      </c>
      <c r="E31" s="10"/>
      <c r="F31" s="10" t="s">
        <v>899</v>
      </c>
      <c r="G31" s="10" t="s">
        <v>900</v>
      </c>
      <c r="H31" s="10"/>
      <c r="L31" s="10"/>
      <c r="M31" t="s">
        <v>1056</v>
      </c>
    </row>
    <row r="32" spans="1:13">
      <c r="A32" s="10" t="s">
        <v>901</v>
      </c>
      <c r="B32" s="10" t="s">
        <v>72</v>
      </c>
      <c r="C32" s="10"/>
      <c r="D32" t="s">
        <v>72</v>
      </c>
      <c r="E32" s="10"/>
      <c r="F32" s="10" t="s">
        <v>902</v>
      </c>
      <c r="G32" s="10" t="s">
        <v>903</v>
      </c>
      <c r="H32" s="10"/>
      <c r="L32" s="10"/>
      <c r="M32" t="s">
        <v>1057</v>
      </c>
    </row>
    <row r="33" spans="1:13">
      <c r="A33" s="10" t="s">
        <v>904</v>
      </c>
      <c r="B33" s="10" t="s">
        <v>72</v>
      </c>
      <c r="C33" s="10"/>
      <c r="D33" t="s">
        <v>72</v>
      </c>
      <c r="E33" s="10"/>
      <c r="F33" s="10" t="s">
        <v>905</v>
      </c>
      <c r="G33" s="10" t="s">
        <v>903</v>
      </c>
      <c r="H33" s="10"/>
      <c r="L33" s="10"/>
      <c r="M33" t="s">
        <v>1058</v>
      </c>
    </row>
    <row r="34" spans="1:13">
      <c r="A34" s="10" t="s">
        <v>906</v>
      </c>
      <c r="B34" s="10" t="s">
        <v>72</v>
      </c>
      <c r="C34" s="10"/>
      <c r="D34" t="s">
        <v>72</v>
      </c>
      <c r="E34" s="10"/>
      <c r="F34" s="10" t="s">
        <v>907</v>
      </c>
      <c r="G34" s="10" t="s">
        <v>908</v>
      </c>
      <c r="H34" s="10"/>
      <c r="L34" s="10"/>
    </row>
    <row r="35" spans="1:13">
      <c r="A35" s="10" t="s">
        <v>909</v>
      </c>
      <c r="B35" s="10" t="s">
        <v>72</v>
      </c>
      <c r="C35" s="10"/>
      <c r="D35" t="s">
        <v>10</v>
      </c>
      <c r="E35" s="10"/>
      <c r="F35" s="10" t="s">
        <v>910</v>
      </c>
      <c r="G35" s="10" t="s">
        <v>911</v>
      </c>
      <c r="H35" s="10"/>
      <c r="L35" s="10"/>
    </row>
    <row r="36" spans="1:13">
      <c r="A36" t="s">
        <v>1059</v>
      </c>
      <c r="B36" t="s">
        <v>72</v>
      </c>
      <c r="D36" t="s">
        <v>72</v>
      </c>
      <c r="F36" t="s">
        <v>1060</v>
      </c>
      <c r="G36" t="s">
        <v>1061</v>
      </c>
      <c r="M36" t="s">
        <v>1062</v>
      </c>
    </row>
    <row r="37" spans="1:13">
      <c r="A37" t="s">
        <v>1063</v>
      </c>
      <c r="B37" t="s">
        <v>72</v>
      </c>
      <c r="D37" t="s">
        <v>72</v>
      </c>
      <c r="F37" t="s">
        <v>1064</v>
      </c>
      <c r="G37" t="s">
        <v>1065</v>
      </c>
      <c r="M37" t="s">
        <v>1066</v>
      </c>
    </row>
    <row r="38" spans="1:13">
      <c r="A38" t="s">
        <v>1067</v>
      </c>
      <c r="B38" t="s">
        <v>72</v>
      </c>
      <c r="D38" t="s">
        <v>72</v>
      </c>
      <c r="F38" t="s">
        <v>1068</v>
      </c>
      <c r="G38" t="s">
        <v>1069</v>
      </c>
      <c r="M38" t="s">
        <v>1070</v>
      </c>
    </row>
    <row r="39" spans="1:13">
      <c r="A39" t="s">
        <v>1071</v>
      </c>
      <c r="B39" t="s">
        <v>72</v>
      </c>
      <c r="D39" t="s">
        <v>72</v>
      </c>
      <c r="F39" t="s">
        <v>1072</v>
      </c>
      <c r="G39" t="s">
        <v>1073</v>
      </c>
      <c r="M39" t="s">
        <v>1074</v>
      </c>
    </row>
    <row r="40" spans="1:13">
      <c r="A40" t="s">
        <v>1075</v>
      </c>
      <c r="B40" t="s">
        <v>72</v>
      </c>
      <c r="D40" t="s">
        <v>72</v>
      </c>
      <c r="F40" t="s">
        <v>1076</v>
      </c>
      <c r="G40" t="s">
        <v>1077</v>
      </c>
      <c r="M40" t="s">
        <v>1078</v>
      </c>
    </row>
    <row r="41" spans="1:13">
      <c r="A41" t="s">
        <v>1079</v>
      </c>
      <c r="B41" t="s">
        <v>72</v>
      </c>
      <c r="D41" t="s">
        <v>72</v>
      </c>
      <c r="F41" t="s">
        <v>1080</v>
      </c>
      <c r="G41" t="s">
        <v>1081</v>
      </c>
      <c r="M41" t="s">
        <v>1082</v>
      </c>
    </row>
    <row r="42" spans="1:13">
      <c r="A42" s="14" t="s">
        <v>1135</v>
      </c>
      <c r="B42" t="s">
        <v>72</v>
      </c>
      <c r="D42" t="s">
        <v>72</v>
      </c>
      <c r="F42" t="s">
        <v>1083</v>
      </c>
      <c r="G42" t="s">
        <v>1084</v>
      </c>
      <c r="M42" t="s">
        <v>1085</v>
      </c>
    </row>
    <row r="43" spans="1:13">
      <c r="A43" t="s">
        <v>1086</v>
      </c>
      <c r="B43" t="s">
        <v>72</v>
      </c>
      <c r="D43" t="s">
        <v>72</v>
      </c>
      <c r="F43" t="s">
        <v>1087</v>
      </c>
      <c r="G43" t="s">
        <v>1088</v>
      </c>
      <c r="M43" t="s">
        <v>1089</v>
      </c>
    </row>
    <row r="44" spans="1:13">
      <c r="A44" t="s">
        <v>1090</v>
      </c>
      <c r="B44" t="s">
        <v>72</v>
      </c>
      <c r="D44" t="s">
        <v>72</v>
      </c>
      <c r="F44" t="s">
        <v>1091</v>
      </c>
      <c r="G44" t="s">
        <v>1088</v>
      </c>
      <c r="M44" t="s">
        <v>1089</v>
      </c>
    </row>
    <row r="45" spans="1:13">
      <c r="A45" s="19" t="s">
        <v>1092</v>
      </c>
      <c r="B45" s="19" t="s">
        <v>72</v>
      </c>
      <c r="C45" s="19"/>
      <c r="D45" t="s">
        <v>72</v>
      </c>
      <c r="E45" s="19"/>
      <c r="F45" s="19" t="s">
        <v>1093</v>
      </c>
      <c r="G45" s="19" t="s">
        <v>1094</v>
      </c>
      <c r="H45" s="19"/>
      <c r="I45" s="19"/>
      <c r="J45" s="19"/>
      <c r="K45" s="19"/>
      <c r="L45" s="19"/>
      <c r="M45" s="19" t="s">
        <v>1095</v>
      </c>
    </row>
    <row r="46" spans="1:13">
      <c r="B46" s="3">
        <f>9/43</f>
        <v>0.20930232558139536</v>
      </c>
      <c r="D46" s="18">
        <v>0.26</v>
      </c>
      <c r="G46" t="s">
        <v>1420</v>
      </c>
      <c r="H46" s="17">
        <f>MEDIAN(H4:H10)</f>
        <v>3.2000000000000001E-2</v>
      </c>
      <c r="I46" s="17">
        <f t="shared" ref="I46:J46" si="1">MEDIAN(I4:I10)</f>
        <v>0.42500000000000004</v>
      </c>
      <c r="J46" s="17">
        <f t="shared" si="1"/>
        <v>0.34100000000000003</v>
      </c>
    </row>
    <row r="47" spans="1:13">
      <c r="D47">
        <f>COUNTIF(D11:D45,"N")+9</f>
        <v>34</v>
      </c>
      <c r="G47" t="s">
        <v>1421</v>
      </c>
      <c r="H47" s="17">
        <f>AVERAGE(H4:H10)</f>
        <v>0.45339999999999997</v>
      </c>
      <c r="I47" s="17">
        <f t="shared" ref="I47:J47" si="2">AVERAGE(I4:I10)</f>
        <v>0.4375</v>
      </c>
      <c r="J47" s="17">
        <f t="shared" si="2"/>
        <v>0.55714285714285716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3CF0A-1D2B-EF4B-B6B0-C08B0BA55635}">
  <sheetPr>
    <tabColor theme="9" tint="0.59999389629810485"/>
  </sheetPr>
  <dimension ref="A1:O127"/>
  <sheetViews>
    <sheetView topLeftCell="A109" workbookViewId="0">
      <selection activeCell="I126" sqref="I126"/>
    </sheetView>
  </sheetViews>
  <sheetFormatPr baseColWidth="10" defaultRowHeight="16"/>
  <cols>
    <col min="1" max="1" width="17.5" customWidth="1"/>
  </cols>
  <sheetData>
    <row r="1" spans="1:15">
      <c r="A1" t="s">
        <v>1998</v>
      </c>
      <c r="B1" t="s">
        <v>1999</v>
      </c>
      <c r="C1" t="s">
        <v>1199</v>
      </c>
      <c r="D1" t="s">
        <v>1140</v>
      </c>
      <c r="E1" t="s">
        <v>2647</v>
      </c>
      <c r="F1" t="s">
        <v>2000</v>
      </c>
      <c r="G1" t="s">
        <v>2001</v>
      </c>
      <c r="H1" t="s">
        <v>1144</v>
      </c>
      <c r="I1" t="s">
        <v>2002</v>
      </c>
      <c r="J1" t="s">
        <v>2003</v>
      </c>
      <c r="K1" t="s">
        <v>1148</v>
      </c>
      <c r="L1" t="s">
        <v>2748</v>
      </c>
      <c r="M1" t="s">
        <v>2004</v>
      </c>
      <c r="N1" t="s">
        <v>2005</v>
      </c>
      <c r="O1" t="s">
        <v>8</v>
      </c>
    </row>
    <row r="2" spans="1:15">
      <c r="A2" t="s">
        <v>2079</v>
      </c>
      <c r="B2" t="s">
        <v>2080</v>
      </c>
      <c r="C2" t="s">
        <v>10</v>
      </c>
      <c r="D2" t="s">
        <v>2081</v>
      </c>
      <c r="G2" t="s">
        <v>2082</v>
      </c>
      <c r="H2" t="s">
        <v>2083</v>
      </c>
      <c r="I2">
        <v>0.32900000000000001</v>
      </c>
      <c r="J2">
        <v>0.81499999999999995</v>
      </c>
      <c r="K2" t="s">
        <v>2084</v>
      </c>
      <c r="L2" t="s">
        <v>2749</v>
      </c>
      <c r="O2" t="s">
        <v>2756</v>
      </c>
    </row>
    <row r="3" spans="1:15">
      <c r="A3" t="s">
        <v>2093</v>
      </c>
      <c r="B3" t="s">
        <v>2089</v>
      </c>
      <c r="C3" t="s">
        <v>10</v>
      </c>
      <c r="D3" t="s">
        <v>2090</v>
      </c>
      <c r="G3" t="s">
        <v>2094</v>
      </c>
      <c r="H3" t="s">
        <v>2095</v>
      </c>
      <c r="I3">
        <v>0.76100000000000001</v>
      </c>
      <c r="J3">
        <v>0.93400000000000005</v>
      </c>
      <c r="K3" t="s">
        <v>2092</v>
      </c>
      <c r="L3" t="s">
        <v>2750</v>
      </c>
      <c r="O3" t="s">
        <v>2757</v>
      </c>
    </row>
    <row r="4" spans="1:15">
      <c r="A4" t="s">
        <v>2037</v>
      </c>
      <c r="B4" t="s">
        <v>2038</v>
      </c>
      <c r="C4" t="s">
        <v>10</v>
      </c>
      <c r="D4" s="4">
        <v>37209</v>
      </c>
      <c r="E4" s="4"/>
      <c r="F4" t="s">
        <v>2039</v>
      </c>
      <c r="G4" t="s">
        <v>2040</v>
      </c>
      <c r="H4" t="s">
        <v>2041</v>
      </c>
      <c r="K4" t="s">
        <v>2042</v>
      </c>
      <c r="M4" t="s">
        <v>2031</v>
      </c>
      <c r="N4" t="s">
        <v>2043</v>
      </c>
      <c r="O4" t="s">
        <v>2758</v>
      </c>
    </row>
    <row r="5" spans="1:15">
      <c r="A5" t="s">
        <v>2096</v>
      </c>
      <c r="C5" t="s">
        <v>10</v>
      </c>
      <c r="D5" t="s">
        <v>2097</v>
      </c>
      <c r="G5" t="s">
        <v>2098</v>
      </c>
      <c r="H5" t="s">
        <v>2099</v>
      </c>
      <c r="I5">
        <v>4.1210000000000004</v>
      </c>
      <c r="K5" t="s">
        <v>2100</v>
      </c>
      <c r="O5" t="s">
        <v>2759</v>
      </c>
    </row>
    <row r="6" spans="1:15">
      <c r="A6" t="s">
        <v>2101</v>
      </c>
      <c r="B6" t="s">
        <v>2102</v>
      </c>
      <c r="C6" t="s">
        <v>10</v>
      </c>
      <c r="D6" t="s">
        <v>2103</v>
      </c>
      <c r="F6" t="s">
        <v>2104</v>
      </c>
      <c r="G6" t="s">
        <v>2105</v>
      </c>
      <c r="H6" t="s">
        <v>2091</v>
      </c>
      <c r="K6" t="s">
        <v>2106</v>
      </c>
      <c r="O6" t="s">
        <v>2760</v>
      </c>
    </row>
    <row r="7" spans="1:15">
      <c r="A7" t="s">
        <v>2107</v>
      </c>
      <c r="C7" t="s">
        <v>10</v>
      </c>
      <c r="D7" t="s">
        <v>2108</v>
      </c>
      <c r="G7" t="s">
        <v>2109</v>
      </c>
      <c r="H7" t="s">
        <v>2110</v>
      </c>
      <c r="I7">
        <v>1.216</v>
      </c>
    </row>
    <row r="8" spans="1:15">
      <c r="A8" t="s">
        <v>2744</v>
      </c>
      <c r="B8" t="s">
        <v>2382</v>
      </c>
      <c r="C8" t="s">
        <v>10</v>
      </c>
      <c r="D8" t="s">
        <v>2722</v>
      </c>
      <c r="G8" t="s">
        <v>2723</v>
      </c>
      <c r="H8" t="s">
        <v>2724</v>
      </c>
      <c r="K8" t="s">
        <v>2725</v>
      </c>
      <c r="N8" t="s">
        <v>2379</v>
      </c>
      <c r="O8" t="s">
        <v>2761</v>
      </c>
    </row>
    <row r="9" spans="1:15">
      <c r="A9" t="s">
        <v>2111</v>
      </c>
      <c r="C9" t="s">
        <v>10</v>
      </c>
      <c r="D9" t="s">
        <v>2112</v>
      </c>
      <c r="G9" t="s">
        <v>2113</v>
      </c>
      <c r="H9" t="s">
        <v>2114</v>
      </c>
      <c r="K9" t="s">
        <v>2115</v>
      </c>
    </row>
    <row r="10" spans="1:15">
      <c r="A10" t="s">
        <v>2116</v>
      </c>
      <c r="C10" t="s">
        <v>10</v>
      </c>
      <c r="D10" t="s">
        <v>2117</v>
      </c>
      <c r="G10" t="s">
        <v>2118</v>
      </c>
      <c r="H10" t="s">
        <v>2119</v>
      </c>
      <c r="I10">
        <v>5.9649999999999999</v>
      </c>
      <c r="K10" t="s">
        <v>2120</v>
      </c>
      <c r="O10" t="s">
        <v>2762</v>
      </c>
    </row>
    <row r="11" spans="1:15">
      <c r="A11" t="s">
        <v>2121</v>
      </c>
      <c r="C11" t="s">
        <v>10</v>
      </c>
      <c r="D11" t="s">
        <v>2122</v>
      </c>
      <c r="G11" t="s">
        <v>2123</v>
      </c>
      <c r="H11" t="s">
        <v>2124</v>
      </c>
      <c r="I11">
        <v>2.5110000000000001</v>
      </c>
      <c r="O11" t="s">
        <v>2763</v>
      </c>
    </row>
    <row r="12" spans="1:15">
      <c r="A12" t="s">
        <v>2125</v>
      </c>
      <c r="B12" t="s">
        <v>2126</v>
      </c>
      <c r="C12" t="s">
        <v>10</v>
      </c>
      <c r="D12" t="s">
        <v>2127</v>
      </c>
      <c r="G12" t="s">
        <v>2128</v>
      </c>
      <c r="H12" t="s">
        <v>2129</v>
      </c>
      <c r="I12">
        <v>1.5629999999999999</v>
      </c>
      <c r="J12">
        <v>0.48699999999999999</v>
      </c>
      <c r="L12" t="s">
        <v>2751</v>
      </c>
      <c r="O12" t="s">
        <v>2764</v>
      </c>
    </row>
    <row r="13" spans="1:15">
      <c r="A13" t="s">
        <v>2746</v>
      </c>
      <c r="B13" t="s">
        <v>2426</v>
      </c>
      <c r="C13" t="s">
        <v>10</v>
      </c>
      <c r="D13" s="4">
        <v>45428</v>
      </c>
      <c r="E13" s="4"/>
      <c r="G13" t="s">
        <v>2427</v>
      </c>
      <c r="H13" t="s">
        <v>2413</v>
      </c>
      <c r="J13">
        <v>1.65</v>
      </c>
      <c r="L13" t="s">
        <v>2752</v>
      </c>
      <c r="N13" t="s">
        <v>2414</v>
      </c>
      <c r="O13" t="s">
        <v>2765</v>
      </c>
    </row>
    <row r="14" spans="1:15">
      <c r="A14" t="s">
        <v>2130</v>
      </c>
      <c r="C14" t="s">
        <v>10</v>
      </c>
      <c r="D14" t="s">
        <v>2131</v>
      </c>
      <c r="G14" t="s">
        <v>2132</v>
      </c>
      <c r="H14" t="s">
        <v>2133</v>
      </c>
      <c r="I14">
        <v>6.3E-2</v>
      </c>
      <c r="J14">
        <v>0.2</v>
      </c>
      <c r="K14" t="s">
        <v>2134</v>
      </c>
      <c r="L14" t="s">
        <v>2753</v>
      </c>
      <c r="O14" t="s">
        <v>2766</v>
      </c>
    </row>
    <row r="15" spans="1:15">
      <c r="A15" t="s">
        <v>2006</v>
      </c>
      <c r="C15" t="s">
        <v>10</v>
      </c>
      <c r="D15" s="4">
        <v>35709</v>
      </c>
      <c r="E15" s="4"/>
      <c r="F15" t="s">
        <v>2007</v>
      </c>
      <c r="G15" t="s">
        <v>2008</v>
      </c>
      <c r="H15" t="s">
        <v>2009</v>
      </c>
      <c r="K15" t="s">
        <v>2010</v>
      </c>
      <c r="M15" t="s">
        <v>2011</v>
      </c>
      <c r="N15" t="s">
        <v>2012</v>
      </c>
    </row>
    <row r="16" spans="1:15">
      <c r="A16" t="s">
        <v>2135</v>
      </c>
      <c r="B16" t="s">
        <v>2136</v>
      </c>
      <c r="C16" t="s">
        <v>10</v>
      </c>
      <c r="D16" t="s">
        <v>2137</v>
      </c>
      <c r="F16" t="s">
        <v>2138</v>
      </c>
      <c r="G16" t="s">
        <v>2139</v>
      </c>
      <c r="H16" t="s">
        <v>2140</v>
      </c>
      <c r="I16">
        <v>0.22600000000000001</v>
      </c>
      <c r="K16" t="s">
        <v>2106</v>
      </c>
      <c r="O16" t="s">
        <v>2767</v>
      </c>
    </row>
    <row r="17" spans="1:15">
      <c r="A17" t="s">
        <v>2743</v>
      </c>
      <c r="B17" t="s">
        <v>2065</v>
      </c>
      <c r="C17" t="s">
        <v>10</v>
      </c>
      <c r="D17" s="4">
        <v>38336</v>
      </c>
      <c r="E17" s="4"/>
      <c r="F17" t="s">
        <v>2066</v>
      </c>
      <c r="G17" t="s">
        <v>2067</v>
      </c>
      <c r="H17" t="s">
        <v>2068</v>
      </c>
      <c r="K17" t="s">
        <v>2069</v>
      </c>
      <c r="M17" t="s">
        <v>2070</v>
      </c>
      <c r="N17" t="s">
        <v>2071</v>
      </c>
    </row>
    <row r="18" spans="1:15">
      <c r="A18" t="s">
        <v>2747</v>
      </c>
      <c r="B18" t="s">
        <v>2419</v>
      </c>
      <c r="C18" t="s">
        <v>10</v>
      </c>
      <c r="D18" s="4">
        <v>44344</v>
      </c>
      <c r="E18" s="4"/>
      <c r="G18" t="s">
        <v>2420</v>
      </c>
      <c r="H18" t="s">
        <v>2421</v>
      </c>
      <c r="I18">
        <v>0.35</v>
      </c>
      <c r="J18">
        <v>2.5499999999999998</v>
      </c>
      <c r="L18" t="s">
        <v>2754</v>
      </c>
      <c r="N18" t="s">
        <v>2414</v>
      </c>
      <c r="O18" t="s">
        <v>2768</v>
      </c>
    </row>
    <row r="19" spans="1:15">
      <c r="A19" t="s">
        <v>2141</v>
      </c>
      <c r="B19" t="s">
        <v>2142</v>
      </c>
      <c r="C19" t="s">
        <v>10</v>
      </c>
      <c r="D19" t="s">
        <v>2143</v>
      </c>
      <c r="F19" t="s">
        <v>2144</v>
      </c>
      <c r="G19" t="s">
        <v>2145</v>
      </c>
      <c r="H19" t="s">
        <v>2146</v>
      </c>
      <c r="I19">
        <v>1.1870000000000001</v>
      </c>
      <c r="K19" t="s">
        <v>2106</v>
      </c>
      <c r="O19" t="s">
        <v>2769</v>
      </c>
    </row>
    <row r="20" spans="1:15">
      <c r="A20" t="s">
        <v>2147</v>
      </c>
      <c r="C20" t="s">
        <v>10</v>
      </c>
      <c r="D20" t="s">
        <v>2148</v>
      </c>
      <c r="G20" t="s">
        <v>2149</v>
      </c>
      <c r="H20" t="s">
        <v>2150</v>
      </c>
      <c r="I20">
        <v>4.7149999999999999</v>
      </c>
      <c r="O20" t="s">
        <v>2770</v>
      </c>
    </row>
    <row r="21" spans="1:15">
      <c r="A21" t="s">
        <v>2745</v>
      </c>
      <c r="C21" t="s">
        <v>10</v>
      </c>
      <c r="D21" s="4">
        <v>33289</v>
      </c>
      <c r="E21" s="4"/>
      <c r="G21" t="s">
        <v>2373</v>
      </c>
      <c r="H21" t="s">
        <v>2374</v>
      </c>
      <c r="I21">
        <v>1.2769999999999999</v>
      </c>
      <c r="M21" t="s">
        <v>2375</v>
      </c>
      <c r="N21">
        <v>2002</v>
      </c>
      <c r="O21" t="s">
        <v>2771</v>
      </c>
    </row>
    <row r="22" spans="1:15">
      <c r="A22" t="s">
        <v>2151</v>
      </c>
      <c r="B22" t="s">
        <v>2152</v>
      </c>
      <c r="C22" t="s">
        <v>10</v>
      </c>
      <c r="D22" t="s">
        <v>2153</v>
      </c>
      <c r="G22" t="s">
        <v>2154</v>
      </c>
      <c r="H22" t="s">
        <v>2155</v>
      </c>
      <c r="I22">
        <v>1.456</v>
      </c>
    </row>
    <row r="23" spans="1:15">
      <c r="A23" t="s">
        <v>2156</v>
      </c>
      <c r="C23" t="s">
        <v>10</v>
      </c>
      <c r="D23" t="s">
        <v>2157</v>
      </c>
      <c r="G23" t="s">
        <v>2158</v>
      </c>
      <c r="H23" t="s">
        <v>2159</v>
      </c>
      <c r="K23" t="s">
        <v>2160</v>
      </c>
      <c r="O23" t="s">
        <v>2772</v>
      </c>
    </row>
    <row r="24" spans="1:15">
      <c r="A24" t="s">
        <v>2161</v>
      </c>
      <c r="B24" t="s">
        <v>2162</v>
      </c>
      <c r="C24" t="s">
        <v>10</v>
      </c>
      <c r="D24" t="s">
        <v>2163</v>
      </c>
      <c r="G24" t="s">
        <v>2164</v>
      </c>
      <c r="H24" t="s">
        <v>2165</v>
      </c>
      <c r="I24">
        <v>4.3739999999999997</v>
      </c>
      <c r="K24" t="s">
        <v>2166</v>
      </c>
    </row>
    <row r="25" spans="1:15">
      <c r="A25" t="s">
        <v>2167</v>
      </c>
      <c r="B25" t="s">
        <v>2168</v>
      </c>
      <c r="C25" t="s">
        <v>10</v>
      </c>
      <c r="D25" t="s">
        <v>2169</v>
      </c>
      <c r="G25" t="s">
        <v>2170</v>
      </c>
      <c r="H25" t="s">
        <v>23</v>
      </c>
      <c r="I25">
        <v>2.222</v>
      </c>
      <c r="K25" t="s">
        <v>2171</v>
      </c>
    </row>
    <row r="26" spans="1:15">
      <c r="A26" t="s">
        <v>2172</v>
      </c>
      <c r="B26" t="s">
        <v>2173</v>
      </c>
      <c r="C26" t="s">
        <v>10</v>
      </c>
      <c r="D26" t="s">
        <v>2174</v>
      </c>
      <c r="F26" t="s">
        <v>2175</v>
      </c>
      <c r="G26" t="s">
        <v>2176</v>
      </c>
      <c r="H26" t="s">
        <v>2177</v>
      </c>
      <c r="K26" t="s">
        <v>2106</v>
      </c>
      <c r="O26" t="s">
        <v>2773</v>
      </c>
    </row>
    <row r="27" spans="1:15">
      <c r="A27" t="s">
        <v>2178</v>
      </c>
      <c r="B27" t="s">
        <v>2061</v>
      </c>
      <c r="C27" t="s">
        <v>10</v>
      </c>
      <c r="D27" s="4">
        <v>38054</v>
      </c>
      <c r="E27" s="4"/>
      <c r="G27" t="s">
        <v>2057</v>
      </c>
      <c r="H27" t="s">
        <v>2062</v>
      </c>
      <c r="I27">
        <v>1.774</v>
      </c>
      <c r="K27" t="s">
        <v>2063</v>
      </c>
      <c r="M27" t="s">
        <v>2011</v>
      </c>
      <c r="N27" t="s">
        <v>2064</v>
      </c>
    </row>
    <row r="28" spans="1:15">
      <c r="A28" t="s">
        <v>2179</v>
      </c>
      <c r="B28" t="s">
        <v>2085</v>
      </c>
      <c r="C28" t="s">
        <v>10</v>
      </c>
      <c r="D28" t="s">
        <v>2086</v>
      </c>
      <c r="G28" t="s">
        <v>2087</v>
      </c>
      <c r="H28" t="s">
        <v>2088</v>
      </c>
      <c r="I28">
        <v>0.97199999999999998</v>
      </c>
      <c r="J28">
        <v>1.45</v>
      </c>
      <c r="K28" t="s">
        <v>2180</v>
      </c>
      <c r="L28" t="s">
        <v>2755</v>
      </c>
      <c r="O28" t="s">
        <v>2774</v>
      </c>
    </row>
    <row r="29" spans="1:15">
      <c r="A29" t="s">
        <v>2181</v>
      </c>
      <c r="B29" t="s">
        <v>2358</v>
      </c>
      <c r="C29" t="s">
        <v>10</v>
      </c>
      <c r="D29" s="4">
        <v>38987</v>
      </c>
      <c r="E29" s="4"/>
      <c r="G29" t="s">
        <v>2072</v>
      </c>
      <c r="H29" t="s">
        <v>2359</v>
      </c>
      <c r="I29">
        <v>1.0449999999999999</v>
      </c>
      <c r="M29" t="s">
        <v>2360</v>
      </c>
      <c r="N29">
        <v>2002</v>
      </c>
    </row>
    <row r="30" spans="1:15">
      <c r="A30" t="s">
        <v>2367</v>
      </c>
      <c r="C30" t="s">
        <v>2368</v>
      </c>
      <c r="G30" t="s">
        <v>2369</v>
      </c>
      <c r="H30" t="s">
        <v>763</v>
      </c>
      <c r="M30" t="s">
        <v>2370</v>
      </c>
      <c r="N30" t="s">
        <v>2371</v>
      </c>
      <c r="O30" t="s">
        <v>2434</v>
      </c>
    </row>
    <row r="31" spans="1:15">
      <c r="A31" t="s">
        <v>2182</v>
      </c>
      <c r="B31" t="s">
        <v>2182</v>
      </c>
      <c r="C31" t="s">
        <v>72</v>
      </c>
      <c r="E31" t="s">
        <v>72</v>
      </c>
      <c r="F31" t="s">
        <v>2183</v>
      </c>
      <c r="G31" t="s">
        <v>2184</v>
      </c>
      <c r="H31" t="s">
        <v>2185</v>
      </c>
    </row>
    <row r="32" spans="1:15">
      <c r="A32" t="s">
        <v>2342</v>
      </c>
      <c r="B32" t="s">
        <v>2343</v>
      </c>
      <c r="C32" t="s">
        <v>72</v>
      </c>
      <c r="E32" t="s">
        <v>72</v>
      </c>
      <c r="F32" t="s">
        <v>2344</v>
      </c>
      <c r="G32" t="s">
        <v>2345</v>
      </c>
      <c r="H32" t="s">
        <v>2346</v>
      </c>
    </row>
    <row r="33" spans="1:8">
      <c r="A33" t="s">
        <v>2186</v>
      </c>
      <c r="B33" t="s">
        <v>2186</v>
      </c>
      <c r="C33" t="s">
        <v>72</v>
      </c>
      <c r="E33" t="s">
        <v>72</v>
      </c>
      <c r="F33" t="s">
        <v>2187</v>
      </c>
      <c r="G33" t="s">
        <v>2188</v>
      </c>
      <c r="H33" t="s">
        <v>2189</v>
      </c>
    </row>
    <row r="34" spans="1:8">
      <c r="A34" t="s">
        <v>2190</v>
      </c>
      <c r="B34" t="s">
        <v>2191</v>
      </c>
      <c r="C34" t="s">
        <v>72</v>
      </c>
      <c r="E34" t="s">
        <v>72</v>
      </c>
      <c r="F34" t="s">
        <v>2192</v>
      </c>
      <c r="G34" t="s">
        <v>2193</v>
      </c>
      <c r="H34" t="s">
        <v>2194</v>
      </c>
    </row>
    <row r="35" spans="1:8">
      <c r="A35" t="s">
        <v>2195</v>
      </c>
      <c r="B35" t="s">
        <v>2196</v>
      </c>
      <c r="C35" t="s">
        <v>72</v>
      </c>
      <c r="E35" t="s">
        <v>72</v>
      </c>
      <c r="F35" t="s">
        <v>2197</v>
      </c>
      <c r="G35" t="s">
        <v>2198</v>
      </c>
      <c r="H35" t="s">
        <v>2199</v>
      </c>
    </row>
    <row r="36" spans="1:8">
      <c r="A36" t="s">
        <v>2200</v>
      </c>
      <c r="B36" t="s">
        <v>2200</v>
      </c>
      <c r="C36" t="s">
        <v>72</v>
      </c>
      <c r="E36" t="s">
        <v>72</v>
      </c>
      <c r="F36" t="s">
        <v>2201</v>
      </c>
      <c r="G36" t="s">
        <v>2202</v>
      </c>
      <c r="H36" t="s">
        <v>2203</v>
      </c>
    </row>
    <row r="37" spans="1:8">
      <c r="A37" t="s">
        <v>2313</v>
      </c>
      <c r="B37" s="43" t="s">
        <v>2314</v>
      </c>
      <c r="C37" t="s">
        <v>72</v>
      </c>
      <c r="E37" t="s">
        <v>72</v>
      </c>
      <c r="F37" t="s">
        <v>2315</v>
      </c>
      <c r="G37" t="s">
        <v>2316</v>
      </c>
      <c r="H37" t="s">
        <v>2317</v>
      </c>
    </row>
    <row r="38" spans="1:8">
      <c r="A38" t="s">
        <v>2204</v>
      </c>
      <c r="B38" t="s">
        <v>2204</v>
      </c>
      <c r="C38" t="s">
        <v>72</v>
      </c>
      <c r="E38" t="s">
        <v>72</v>
      </c>
      <c r="G38" t="s">
        <v>2205</v>
      </c>
      <c r="H38" t="s">
        <v>2203</v>
      </c>
    </row>
    <row r="39" spans="1:8">
      <c r="A39" t="s">
        <v>2308</v>
      </c>
      <c r="B39" t="s">
        <v>2309</v>
      </c>
      <c r="C39" t="s">
        <v>72</v>
      </c>
      <c r="E39" t="s">
        <v>72</v>
      </c>
      <c r="F39" t="s">
        <v>2310</v>
      </c>
      <c r="G39" t="s">
        <v>2219</v>
      </c>
      <c r="H39" t="s">
        <v>2220</v>
      </c>
    </row>
    <row r="40" spans="1:8">
      <c r="A40" t="s">
        <v>2303</v>
      </c>
      <c r="B40" t="s">
        <v>2304</v>
      </c>
      <c r="C40" t="s">
        <v>72</v>
      </c>
      <c r="E40" t="s">
        <v>72</v>
      </c>
      <c r="F40" t="s">
        <v>2305</v>
      </c>
      <c r="G40" t="s">
        <v>2306</v>
      </c>
      <c r="H40" t="s">
        <v>2307</v>
      </c>
    </row>
    <row r="41" spans="1:8">
      <c r="A41" t="s">
        <v>2207</v>
      </c>
      <c r="B41" s="43" t="s">
        <v>2207</v>
      </c>
      <c r="C41" t="s">
        <v>72</v>
      </c>
      <c r="E41" t="s">
        <v>72</v>
      </c>
      <c r="G41" t="s">
        <v>2208</v>
      </c>
      <c r="H41" t="s">
        <v>2208</v>
      </c>
    </row>
    <row r="42" spans="1:8">
      <c r="A42" t="s">
        <v>2209</v>
      </c>
      <c r="B42" s="43" t="s">
        <v>2209</v>
      </c>
      <c r="C42" t="s">
        <v>72</v>
      </c>
      <c r="E42" t="s">
        <v>72</v>
      </c>
      <c r="F42" t="s">
        <v>2210</v>
      </c>
      <c r="G42" t="s">
        <v>2211</v>
      </c>
      <c r="H42" t="s">
        <v>665</v>
      </c>
    </row>
    <row r="43" spans="1:8">
      <c r="A43" t="s">
        <v>2212</v>
      </c>
      <c r="B43" t="s">
        <v>2213</v>
      </c>
      <c r="C43" t="s">
        <v>72</v>
      </c>
      <c r="E43" t="s">
        <v>72</v>
      </c>
      <c r="F43" t="s">
        <v>2214</v>
      </c>
      <c r="G43" t="s">
        <v>2215</v>
      </c>
      <c r="H43" t="s">
        <v>665</v>
      </c>
    </row>
    <row r="44" spans="1:8">
      <c r="A44" t="s">
        <v>2216</v>
      </c>
      <c r="B44" t="s">
        <v>2217</v>
      </c>
      <c r="C44" t="s">
        <v>72</v>
      </c>
      <c r="E44" t="s">
        <v>72</v>
      </c>
      <c r="F44" t="s">
        <v>2218</v>
      </c>
      <c r="G44" t="s">
        <v>2219</v>
      </c>
      <c r="H44" t="s">
        <v>2220</v>
      </c>
    </row>
    <row r="45" spans="1:8">
      <c r="A45" t="s">
        <v>2221</v>
      </c>
      <c r="B45" t="s">
        <v>2221</v>
      </c>
      <c r="C45" t="s">
        <v>72</v>
      </c>
      <c r="E45" t="s">
        <v>72</v>
      </c>
      <c r="F45" t="s">
        <v>2222</v>
      </c>
      <c r="G45" t="s">
        <v>2223</v>
      </c>
      <c r="H45" t="s">
        <v>2224</v>
      </c>
    </row>
    <row r="46" spans="1:8">
      <c r="A46" t="s">
        <v>2225</v>
      </c>
      <c r="B46" t="s">
        <v>2225</v>
      </c>
      <c r="C46" t="s">
        <v>72</v>
      </c>
      <c r="E46" t="s">
        <v>72</v>
      </c>
      <c r="G46" t="s">
        <v>2226</v>
      </c>
      <c r="H46" t="s">
        <v>2203</v>
      </c>
    </row>
    <row r="47" spans="1:8">
      <c r="A47" t="s">
        <v>2227</v>
      </c>
      <c r="B47" t="s">
        <v>2227</v>
      </c>
      <c r="C47" t="s">
        <v>72</v>
      </c>
      <c r="E47" t="s">
        <v>72</v>
      </c>
      <c r="F47" t="s">
        <v>2228</v>
      </c>
      <c r="G47" t="s">
        <v>2229</v>
      </c>
      <c r="H47" t="s">
        <v>1319</v>
      </c>
    </row>
    <row r="48" spans="1:8">
      <c r="A48" t="s">
        <v>2230</v>
      </c>
      <c r="B48" t="s">
        <v>2231</v>
      </c>
      <c r="C48" t="s">
        <v>72</v>
      </c>
      <c r="E48" t="s">
        <v>72</v>
      </c>
      <c r="F48" t="s">
        <v>2232</v>
      </c>
      <c r="G48" t="s">
        <v>2233</v>
      </c>
      <c r="H48" t="s">
        <v>2234</v>
      </c>
    </row>
    <row r="49" spans="1:15">
      <c r="A49" t="s">
        <v>2235</v>
      </c>
      <c r="B49" t="s">
        <v>2235</v>
      </c>
      <c r="C49" t="s">
        <v>72</v>
      </c>
      <c r="E49" t="s">
        <v>72</v>
      </c>
      <c r="F49" t="s">
        <v>2236</v>
      </c>
      <c r="G49" t="s">
        <v>2237</v>
      </c>
      <c r="H49" t="s">
        <v>2238</v>
      </c>
    </row>
    <row r="50" spans="1:15">
      <c r="A50" t="s">
        <v>2239</v>
      </c>
      <c r="B50" t="s">
        <v>2239</v>
      </c>
      <c r="C50" t="s">
        <v>72</v>
      </c>
      <c r="E50" t="s">
        <v>72</v>
      </c>
      <c r="G50" t="s">
        <v>2240</v>
      </c>
      <c r="H50" t="s">
        <v>1664</v>
      </c>
    </row>
    <row r="51" spans="1:15">
      <c r="A51" t="s">
        <v>2347</v>
      </c>
      <c r="B51" t="s">
        <v>2348</v>
      </c>
      <c r="C51" t="s">
        <v>72</v>
      </c>
      <c r="E51" t="s">
        <v>72</v>
      </c>
      <c r="F51" t="s">
        <v>2349</v>
      </c>
      <c r="G51" t="s">
        <v>2350</v>
      </c>
      <c r="H51" t="s">
        <v>2351</v>
      </c>
    </row>
    <row r="52" spans="1:15">
      <c r="A52" t="s">
        <v>2241</v>
      </c>
      <c r="B52" t="s">
        <v>2242</v>
      </c>
      <c r="C52" t="s">
        <v>72</v>
      </c>
      <c r="E52" t="s">
        <v>72</v>
      </c>
      <c r="F52" t="s">
        <v>2243</v>
      </c>
      <c r="G52" t="s">
        <v>2244</v>
      </c>
      <c r="H52" t="s">
        <v>2245</v>
      </c>
    </row>
    <row r="53" spans="1:15">
      <c r="A53" t="s">
        <v>2246</v>
      </c>
      <c r="B53" t="s">
        <v>2247</v>
      </c>
      <c r="C53" t="s">
        <v>72</v>
      </c>
      <c r="E53" t="s">
        <v>10</v>
      </c>
      <c r="F53" t="s">
        <v>2248</v>
      </c>
      <c r="G53" t="s">
        <v>2249</v>
      </c>
      <c r="H53" t="s">
        <v>738</v>
      </c>
    </row>
    <row r="54" spans="1:15">
      <c r="A54" t="s">
        <v>2250</v>
      </c>
      <c r="B54" t="s">
        <v>2251</v>
      </c>
      <c r="C54" t="s">
        <v>72</v>
      </c>
      <c r="E54" t="s">
        <v>72</v>
      </c>
      <c r="F54" t="s">
        <v>2252</v>
      </c>
      <c r="G54" t="s">
        <v>2253</v>
      </c>
      <c r="H54" t="s">
        <v>738</v>
      </c>
    </row>
    <row r="55" spans="1:15">
      <c r="A55" t="s">
        <v>2327</v>
      </c>
      <c r="B55" t="s">
        <v>2328</v>
      </c>
      <c r="C55" t="s">
        <v>72</v>
      </c>
      <c r="E55" t="s">
        <v>72</v>
      </c>
      <c r="F55" t="s">
        <v>2329</v>
      </c>
      <c r="G55" t="s">
        <v>2330</v>
      </c>
      <c r="H55" t="s">
        <v>2331</v>
      </c>
    </row>
    <row r="56" spans="1:15">
      <c r="A56" t="s">
        <v>2352</v>
      </c>
      <c r="B56" t="s">
        <v>2353</v>
      </c>
      <c r="C56" t="s">
        <v>72</v>
      </c>
      <c r="E56" t="s">
        <v>10</v>
      </c>
      <c r="F56" t="s">
        <v>2354</v>
      </c>
      <c r="G56" t="s">
        <v>2355</v>
      </c>
      <c r="H56" t="s">
        <v>2220</v>
      </c>
    </row>
    <row r="57" spans="1:15">
      <c r="A57" t="s">
        <v>2254</v>
      </c>
      <c r="B57" t="s">
        <v>2254</v>
      </c>
      <c r="C57" t="s">
        <v>72</v>
      </c>
      <c r="E57" t="s">
        <v>72</v>
      </c>
      <c r="F57" t="s">
        <v>2255</v>
      </c>
      <c r="G57" t="s">
        <v>2256</v>
      </c>
      <c r="H57" t="s">
        <v>1664</v>
      </c>
    </row>
    <row r="58" spans="1:15">
      <c r="A58" t="s">
        <v>2257</v>
      </c>
      <c r="B58" t="s">
        <v>2258</v>
      </c>
      <c r="C58" t="s">
        <v>72</v>
      </c>
      <c r="E58" t="s">
        <v>72</v>
      </c>
      <c r="F58" t="s">
        <v>2259</v>
      </c>
      <c r="G58" t="s">
        <v>2260</v>
      </c>
      <c r="H58" t="s">
        <v>1014</v>
      </c>
    </row>
    <row r="59" spans="1:15">
      <c r="A59" t="s">
        <v>2261</v>
      </c>
      <c r="B59" t="s">
        <v>2262</v>
      </c>
      <c r="C59" t="s">
        <v>72</v>
      </c>
      <c r="E59" t="s">
        <v>72</v>
      </c>
      <c r="F59" t="s">
        <v>2263</v>
      </c>
      <c r="G59" t="s">
        <v>2264</v>
      </c>
      <c r="H59" t="s">
        <v>2265</v>
      </c>
    </row>
    <row r="60" spans="1:15">
      <c r="A60" t="s">
        <v>2318</v>
      </c>
      <c r="B60" t="s">
        <v>2319</v>
      </c>
      <c r="C60" t="s">
        <v>72</v>
      </c>
      <c r="E60" t="s">
        <v>72</v>
      </c>
      <c r="F60" t="s">
        <v>2320</v>
      </c>
      <c r="G60" t="s">
        <v>2321</v>
      </c>
      <c r="H60" t="s">
        <v>2322</v>
      </c>
    </row>
    <row r="61" spans="1:15">
      <c r="A61" t="s">
        <v>2266</v>
      </c>
      <c r="B61" t="s">
        <v>2267</v>
      </c>
      <c r="C61" t="s">
        <v>72</v>
      </c>
      <c r="E61" t="s">
        <v>72</v>
      </c>
      <c r="F61" t="s">
        <v>2268</v>
      </c>
      <c r="G61" t="s">
        <v>2269</v>
      </c>
      <c r="H61" t="s">
        <v>2234</v>
      </c>
    </row>
    <row r="62" spans="1:15">
      <c r="A62" t="s">
        <v>2270</v>
      </c>
      <c r="B62" t="s">
        <v>2271</v>
      </c>
      <c r="C62" t="s">
        <v>72</v>
      </c>
      <c r="E62" t="s">
        <v>72</v>
      </c>
      <c r="F62" t="s">
        <v>2272</v>
      </c>
      <c r="G62" t="s">
        <v>2273</v>
      </c>
      <c r="H62" t="s">
        <v>738</v>
      </c>
      <c r="O62" t="s">
        <v>2356</v>
      </c>
    </row>
    <row r="63" spans="1:15">
      <c r="A63" t="s">
        <v>2335</v>
      </c>
      <c r="B63" t="s">
        <v>2336</v>
      </c>
      <c r="C63" t="s">
        <v>72</v>
      </c>
      <c r="E63" t="s">
        <v>72</v>
      </c>
      <c r="F63" t="s">
        <v>2337</v>
      </c>
      <c r="G63" t="s">
        <v>2338</v>
      </c>
      <c r="H63" t="s">
        <v>2339</v>
      </c>
      <c r="O63" t="s">
        <v>2357</v>
      </c>
    </row>
    <row r="64" spans="1:15">
      <c r="A64" t="s">
        <v>2274</v>
      </c>
      <c r="B64" t="s">
        <v>2275</v>
      </c>
      <c r="C64" t="s">
        <v>72</v>
      </c>
      <c r="E64" t="s">
        <v>72</v>
      </c>
      <c r="F64" t="s">
        <v>2276</v>
      </c>
      <c r="G64" t="s">
        <v>2277</v>
      </c>
      <c r="H64" t="s">
        <v>2278</v>
      </c>
      <c r="O64" t="s">
        <v>2366</v>
      </c>
    </row>
    <row r="65" spans="1:15">
      <c r="A65" t="s">
        <v>2279</v>
      </c>
      <c r="B65" t="s">
        <v>2280</v>
      </c>
      <c r="C65" t="s">
        <v>72</v>
      </c>
      <c r="E65" t="s">
        <v>72</v>
      </c>
      <c r="F65" t="s">
        <v>2281</v>
      </c>
      <c r="G65" t="s">
        <v>2282</v>
      </c>
      <c r="H65" t="s">
        <v>2283</v>
      </c>
      <c r="O65" t="s">
        <v>2376</v>
      </c>
    </row>
    <row r="66" spans="1:15">
      <c r="A66" t="s">
        <v>2284</v>
      </c>
      <c r="B66" t="s">
        <v>2284</v>
      </c>
      <c r="C66" t="s">
        <v>72</v>
      </c>
      <c r="E66" t="s">
        <v>72</v>
      </c>
      <c r="G66" t="s">
        <v>2285</v>
      </c>
      <c r="H66" t="s">
        <v>2286</v>
      </c>
      <c r="O66" t="s">
        <v>2378</v>
      </c>
    </row>
    <row r="67" spans="1:15">
      <c r="A67" t="s">
        <v>2287</v>
      </c>
      <c r="B67" t="s">
        <v>2287</v>
      </c>
      <c r="C67" t="s">
        <v>72</v>
      </c>
      <c r="E67" t="s">
        <v>72</v>
      </c>
      <c r="G67" t="s">
        <v>2288</v>
      </c>
      <c r="H67" t="s">
        <v>1650</v>
      </c>
      <c r="O67" t="s">
        <v>2380</v>
      </c>
    </row>
    <row r="68" spans="1:15">
      <c r="A68" t="s">
        <v>2289</v>
      </c>
      <c r="B68" t="s">
        <v>2289</v>
      </c>
      <c r="C68" t="s">
        <v>72</v>
      </c>
      <c r="E68" t="s">
        <v>72</v>
      </c>
      <c r="F68" t="s">
        <v>2290</v>
      </c>
      <c r="G68" t="s">
        <v>2291</v>
      </c>
      <c r="H68" t="s">
        <v>1014</v>
      </c>
      <c r="O68" t="s">
        <v>2380</v>
      </c>
    </row>
    <row r="69" spans="1:15">
      <c r="A69" t="s">
        <v>2292</v>
      </c>
      <c r="B69" t="s">
        <v>2292</v>
      </c>
      <c r="C69" t="s">
        <v>72</v>
      </c>
      <c r="E69" t="s">
        <v>72</v>
      </c>
      <c r="F69" t="s">
        <v>2293</v>
      </c>
      <c r="G69" t="s">
        <v>2294</v>
      </c>
      <c r="H69" t="s">
        <v>89</v>
      </c>
      <c r="O69" t="s">
        <v>2385</v>
      </c>
    </row>
    <row r="70" spans="1:15">
      <c r="A70" t="s">
        <v>2295</v>
      </c>
      <c r="B70" t="s">
        <v>2295</v>
      </c>
      <c r="C70" t="s">
        <v>72</v>
      </c>
      <c r="E70" t="s">
        <v>72</v>
      </c>
      <c r="F70" t="s">
        <v>2296</v>
      </c>
      <c r="G70" t="s">
        <v>2297</v>
      </c>
      <c r="H70" t="s">
        <v>2203</v>
      </c>
      <c r="O70" t="s">
        <v>2385</v>
      </c>
    </row>
    <row r="71" spans="1:15">
      <c r="A71" t="s">
        <v>2298</v>
      </c>
      <c r="B71" t="s">
        <v>2298</v>
      </c>
      <c r="C71" t="s">
        <v>72</v>
      </c>
      <c r="E71" t="s">
        <v>72</v>
      </c>
      <c r="G71" t="s">
        <v>2288</v>
      </c>
      <c r="H71" t="s">
        <v>1650</v>
      </c>
      <c r="O71" t="s">
        <v>2385</v>
      </c>
    </row>
    <row r="72" spans="1:15">
      <c r="A72" t="s">
        <v>2299</v>
      </c>
      <c r="B72" t="s">
        <v>2299</v>
      </c>
      <c r="C72" t="s">
        <v>72</v>
      </c>
      <c r="E72" t="s">
        <v>72</v>
      </c>
      <c r="F72" t="s">
        <v>2300</v>
      </c>
      <c r="G72" t="s">
        <v>2301</v>
      </c>
      <c r="H72" t="s">
        <v>2302</v>
      </c>
      <c r="O72" t="s">
        <v>2392</v>
      </c>
    </row>
    <row r="73" spans="1:15">
      <c r="A73" t="s">
        <v>2323</v>
      </c>
      <c r="B73" t="s">
        <v>2311</v>
      </c>
      <c r="C73" t="s">
        <v>72</v>
      </c>
      <c r="E73" t="s">
        <v>72</v>
      </c>
      <c r="F73" t="s">
        <v>2324</v>
      </c>
      <c r="G73" t="s">
        <v>2325</v>
      </c>
      <c r="H73" t="s">
        <v>2302</v>
      </c>
      <c r="O73" t="s">
        <v>2392</v>
      </c>
    </row>
    <row r="74" spans="1:15">
      <c r="A74" t="s">
        <v>2013</v>
      </c>
      <c r="B74" t="s">
        <v>2014</v>
      </c>
      <c r="C74" t="s">
        <v>72</v>
      </c>
      <c r="F74" t="s">
        <v>2015</v>
      </c>
      <c r="G74" t="s">
        <v>2016</v>
      </c>
      <c r="H74" t="s">
        <v>2017</v>
      </c>
      <c r="K74" t="s">
        <v>2018</v>
      </c>
      <c r="M74" t="s">
        <v>2019</v>
      </c>
      <c r="N74" t="s">
        <v>2020</v>
      </c>
      <c r="O74" t="s">
        <v>2392</v>
      </c>
    </row>
    <row r="75" spans="1:15">
      <c r="A75" t="s">
        <v>2054</v>
      </c>
      <c r="B75" t="s">
        <v>2055</v>
      </c>
      <c r="C75" t="s">
        <v>72</v>
      </c>
      <c r="F75" t="s">
        <v>2056</v>
      </c>
      <c r="G75" t="s">
        <v>2057</v>
      </c>
      <c r="H75" t="s">
        <v>2058</v>
      </c>
      <c r="K75" t="s">
        <v>2059</v>
      </c>
      <c r="M75" t="s">
        <v>2011</v>
      </c>
      <c r="N75" t="s">
        <v>2060</v>
      </c>
      <c r="O75" t="s">
        <v>2411</v>
      </c>
    </row>
    <row r="76" spans="1:15">
      <c r="A76" t="s">
        <v>2044</v>
      </c>
      <c r="B76" t="s">
        <v>2045</v>
      </c>
      <c r="C76" t="s">
        <v>72</v>
      </c>
      <c r="G76" t="s">
        <v>2046</v>
      </c>
      <c r="H76" t="s">
        <v>2047</v>
      </c>
      <c r="K76" t="s">
        <v>2048</v>
      </c>
      <c r="M76" t="s">
        <v>2031</v>
      </c>
      <c r="N76" t="s">
        <v>2032</v>
      </c>
      <c r="O76" t="s">
        <v>2415</v>
      </c>
    </row>
    <row r="77" spans="1:15">
      <c r="A77" t="s">
        <v>2021</v>
      </c>
      <c r="C77" t="s">
        <v>72</v>
      </c>
      <c r="G77" t="s">
        <v>2022</v>
      </c>
      <c r="H77" t="s">
        <v>2023</v>
      </c>
      <c r="K77" t="s">
        <v>2024</v>
      </c>
      <c r="M77" t="s">
        <v>2025</v>
      </c>
      <c r="N77" t="s">
        <v>2026</v>
      </c>
      <c r="O77" t="s">
        <v>2415</v>
      </c>
    </row>
    <row r="78" spans="1:15">
      <c r="A78" t="s">
        <v>2027</v>
      </c>
      <c r="C78" t="s">
        <v>72</v>
      </c>
      <c r="G78" t="s">
        <v>2028</v>
      </c>
      <c r="H78" t="s">
        <v>2029</v>
      </c>
      <c r="K78" t="s">
        <v>2030</v>
      </c>
      <c r="M78" t="s">
        <v>2031</v>
      </c>
      <c r="N78" t="s">
        <v>2032</v>
      </c>
      <c r="O78" t="s">
        <v>2415</v>
      </c>
    </row>
    <row r="79" spans="1:15">
      <c r="A79" t="s">
        <v>2033</v>
      </c>
      <c r="C79" t="s">
        <v>72</v>
      </c>
      <c r="G79" t="s">
        <v>2034</v>
      </c>
      <c r="H79" t="s">
        <v>2035</v>
      </c>
      <c r="K79" t="s">
        <v>2036</v>
      </c>
      <c r="M79" t="s">
        <v>2031</v>
      </c>
      <c r="N79" t="s">
        <v>2032</v>
      </c>
      <c r="O79" t="s">
        <v>2415</v>
      </c>
    </row>
    <row r="80" spans="1:15">
      <c r="A80" t="s">
        <v>2049</v>
      </c>
      <c r="C80" t="s">
        <v>72</v>
      </c>
      <c r="G80" t="s">
        <v>2050</v>
      </c>
      <c r="H80" t="s">
        <v>2051</v>
      </c>
      <c r="I80" s="4"/>
      <c r="K80" t="s">
        <v>2052</v>
      </c>
      <c r="M80" t="s">
        <v>2011</v>
      </c>
      <c r="N80" t="s">
        <v>2053</v>
      </c>
      <c r="O80" t="s">
        <v>2415</v>
      </c>
    </row>
    <row r="81" spans="1:15">
      <c r="A81" t="s">
        <v>2075</v>
      </c>
      <c r="C81" t="s">
        <v>72</v>
      </c>
      <c r="G81" t="s">
        <v>2076</v>
      </c>
      <c r="H81" t="s">
        <v>2077</v>
      </c>
      <c r="K81" t="s">
        <v>2078</v>
      </c>
      <c r="M81" t="s">
        <v>2073</v>
      </c>
      <c r="N81" t="s">
        <v>2074</v>
      </c>
      <c r="O81" t="s">
        <v>2415</v>
      </c>
    </row>
    <row r="82" spans="1:15">
      <c r="A82" t="s">
        <v>2326</v>
      </c>
      <c r="C82" t="s">
        <v>72</v>
      </c>
      <c r="G82" t="s">
        <v>2312</v>
      </c>
      <c r="H82" t="s">
        <v>261</v>
      </c>
      <c r="O82" t="s">
        <v>2434</v>
      </c>
    </row>
    <row r="83" spans="1:15">
      <c r="A83" t="s">
        <v>2332</v>
      </c>
      <c r="C83" t="s">
        <v>72</v>
      </c>
      <c r="G83" t="s">
        <v>2333</v>
      </c>
      <c r="H83" t="s">
        <v>2334</v>
      </c>
      <c r="O83" t="s">
        <v>2434</v>
      </c>
    </row>
    <row r="84" spans="1:15">
      <c r="A84" t="s">
        <v>2340</v>
      </c>
      <c r="C84" t="s">
        <v>72</v>
      </c>
      <c r="G84" t="s">
        <v>2341</v>
      </c>
      <c r="H84" t="s">
        <v>1644</v>
      </c>
      <c r="O84" t="s">
        <v>2434</v>
      </c>
    </row>
    <row r="85" spans="1:15">
      <c r="A85" t="s">
        <v>2361</v>
      </c>
      <c r="C85" t="s">
        <v>72</v>
      </c>
      <c r="G85" t="s">
        <v>2362</v>
      </c>
      <c r="H85" t="s">
        <v>2363</v>
      </c>
      <c r="M85" t="s">
        <v>2364</v>
      </c>
      <c r="N85" t="s">
        <v>2365</v>
      </c>
      <c r="O85" t="s">
        <v>2434</v>
      </c>
    </row>
    <row r="86" spans="1:15">
      <c r="A86" t="s">
        <v>2435</v>
      </c>
      <c r="B86" t="s">
        <v>2435</v>
      </c>
      <c r="C86" t="s">
        <v>72</v>
      </c>
      <c r="E86" t="s">
        <v>2648</v>
      </c>
      <c r="G86" t="s">
        <v>2649</v>
      </c>
      <c r="H86" t="s">
        <v>2650</v>
      </c>
      <c r="N86" t="s">
        <v>2433</v>
      </c>
    </row>
    <row r="87" spans="1:15">
      <c r="A87" t="s">
        <v>2412</v>
      </c>
      <c r="B87" t="s">
        <v>2412</v>
      </c>
      <c r="C87" t="s">
        <v>72</v>
      </c>
      <c r="E87" t="s">
        <v>2648</v>
      </c>
      <c r="G87" t="s">
        <v>2651</v>
      </c>
      <c r="H87" t="s">
        <v>2652</v>
      </c>
      <c r="N87" t="s">
        <v>2414</v>
      </c>
    </row>
    <row r="88" spans="1:15">
      <c r="A88" t="s">
        <v>2416</v>
      </c>
      <c r="B88" t="s">
        <v>2309</v>
      </c>
      <c r="C88" t="s">
        <v>72</v>
      </c>
      <c r="E88" t="s">
        <v>72</v>
      </c>
      <c r="G88" t="s">
        <v>2653</v>
      </c>
      <c r="H88" t="s">
        <v>2654</v>
      </c>
      <c r="N88" t="s">
        <v>2414</v>
      </c>
    </row>
    <row r="89" spans="1:15">
      <c r="A89" t="s">
        <v>2206</v>
      </c>
      <c r="B89" t="s">
        <v>2206</v>
      </c>
      <c r="C89" t="s">
        <v>72</v>
      </c>
      <c r="E89" t="s">
        <v>2648</v>
      </c>
      <c r="G89" t="s">
        <v>2655</v>
      </c>
      <c r="H89" t="s">
        <v>2656</v>
      </c>
      <c r="N89" t="s">
        <v>2384</v>
      </c>
    </row>
    <row r="90" spans="1:15">
      <c r="A90" t="s">
        <v>2431</v>
      </c>
      <c r="B90" t="s">
        <v>2431</v>
      </c>
      <c r="C90" t="s">
        <v>72</v>
      </c>
      <c r="E90" t="s">
        <v>72</v>
      </c>
      <c r="F90" t="s">
        <v>2657</v>
      </c>
      <c r="G90" t="s">
        <v>2658</v>
      </c>
      <c r="H90" t="s">
        <v>2659</v>
      </c>
      <c r="N90" t="s">
        <v>2432</v>
      </c>
    </row>
    <row r="91" spans="1:15">
      <c r="A91" t="s">
        <v>2408</v>
      </c>
      <c r="B91" t="s">
        <v>2409</v>
      </c>
      <c r="C91" t="s">
        <v>72</v>
      </c>
      <c r="F91" t="s">
        <v>10</v>
      </c>
      <c r="H91" t="s">
        <v>2660</v>
      </c>
      <c r="I91" t="s">
        <v>2661</v>
      </c>
      <c r="N91" t="s">
        <v>2410</v>
      </c>
    </row>
    <row r="92" spans="1:15">
      <c r="A92" t="s">
        <v>2436</v>
      </c>
      <c r="B92" t="s">
        <v>2436</v>
      </c>
      <c r="C92" t="s">
        <v>72</v>
      </c>
      <c r="E92" t="s">
        <v>10</v>
      </c>
      <c r="F92" t="s">
        <v>2662</v>
      </c>
      <c r="G92" t="s">
        <v>2663</v>
      </c>
      <c r="H92" t="s">
        <v>2664</v>
      </c>
      <c r="N92" t="s">
        <v>2433</v>
      </c>
    </row>
    <row r="93" spans="1:15">
      <c r="A93" t="s">
        <v>2393</v>
      </c>
      <c r="B93" t="s">
        <v>2394</v>
      </c>
      <c r="C93" t="s">
        <v>72</v>
      </c>
      <c r="E93" t="s">
        <v>72</v>
      </c>
      <c r="G93" t="s">
        <v>2665</v>
      </c>
      <c r="H93" t="s">
        <v>2666</v>
      </c>
      <c r="N93" t="s">
        <v>2391</v>
      </c>
    </row>
    <row r="94" spans="1:15">
      <c r="A94" t="s">
        <v>2395</v>
      </c>
      <c r="B94" t="s">
        <v>2395</v>
      </c>
      <c r="C94" t="s">
        <v>72</v>
      </c>
      <c r="E94" t="s">
        <v>72</v>
      </c>
      <c r="F94" t="s">
        <v>2667</v>
      </c>
      <c r="G94" t="s">
        <v>2668</v>
      </c>
      <c r="H94" t="s">
        <v>2669</v>
      </c>
      <c r="N94" t="s">
        <v>2391</v>
      </c>
    </row>
    <row r="95" spans="1:15">
      <c r="A95" t="s">
        <v>2396</v>
      </c>
      <c r="B95" t="s">
        <v>2397</v>
      </c>
      <c r="C95" t="s">
        <v>72</v>
      </c>
      <c r="E95" t="s">
        <v>10</v>
      </c>
      <c r="F95" t="s">
        <v>2670</v>
      </c>
      <c r="G95" t="s">
        <v>2671</v>
      </c>
      <c r="H95" t="s">
        <v>2672</v>
      </c>
      <c r="N95" t="s">
        <v>2391</v>
      </c>
    </row>
    <row r="96" spans="1:15">
      <c r="A96" t="s">
        <v>2398</v>
      </c>
      <c r="B96" t="s">
        <v>2398</v>
      </c>
      <c r="C96" t="s">
        <v>72</v>
      </c>
      <c r="E96" t="s">
        <v>72</v>
      </c>
      <c r="G96" t="s">
        <v>2673</v>
      </c>
      <c r="H96" t="s">
        <v>2674</v>
      </c>
      <c r="N96" t="s">
        <v>2391</v>
      </c>
    </row>
    <row r="97" spans="1:14">
      <c r="A97" t="s">
        <v>2437</v>
      </c>
      <c r="B97" t="s">
        <v>2437</v>
      </c>
      <c r="C97" t="s">
        <v>72</v>
      </c>
      <c r="E97" t="s">
        <v>10</v>
      </c>
      <c r="G97" t="s">
        <v>2675</v>
      </c>
      <c r="H97" t="s">
        <v>2676</v>
      </c>
      <c r="I97" t="s">
        <v>2669</v>
      </c>
      <c r="N97" t="s">
        <v>2433</v>
      </c>
    </row>
    <row r="98" spans="1:14">
      <c r="A98" t="s">
        <v>2386</v>
      </c>
      <c r="B98" t="s">
        <v>2386</v>
      </c>
      <c r="C98" t="s">
        <v>72</v>
      </c>
      <c r="E98" t="s">
        <v>72</v>
      </c>
      <c r="F98" t="s">
        <v>2677</v>
      </c>
      <c r="G98" t="s">
        <v>2678</v>
      </c>
      <c r="H98" t="s">
        <v>2661</v>
      </c>
      <c r="N98" t="s">
        <v>2384</v>
      </c>
    </row>
    <row r="99" spans="1:14">
      <c r="A99" t="s">
        <v>2438</v>
      </c>
      <c r="B99" t="s">
        <v>2438</v>
      </c>
      <c r="C99" t="s">
        <v>72</v>
      </c>
      <c r="E99" t="s">
        <v>10</v>
      </c>
      <c r="G99" t="s">
        <v>2679</v>
      </c>
      <c r="H99" t="s">
        <v>2680</v>
      </c>
      <c r="I99" t="s">
        <v>2681</v>
      </c>
      <c r="N99" t="s">
        <v>2433</v>
      </c>
    </row>
    <row r="100" spans="1:14">
      <c r="A100" t="s">
        <v>2439</v>
      </c>
      <c r="B100" t="s">
        <v>2439</v>
      </c>
      <c r="C100" t="s">
        <v>72</v>
      </c>
      <c r="E100" t="s">
        <v>2648</v>
      </c>
      <c r="G100" t="s">
        <v>2682</v>
      </c>
      <c r="H100" t="s">
        <v>2669</v>
      </c>
      <c r="N100" t="s">
        <v>2433</v>
      </c>
    </row>
    <row r="101" spans="1:14">
      <c r="A101" t="s">
        <v>2399</v>
      </c>
      <c r="B101" t="s">
        <v>2399</v>
      </c>
      <c r="C101" t="s">
        <v>72</v>
      </c>
      <c r="E101" t="s">
        <v>72</v>
      </c>
      <c r="F101" t="s">
        <v>2683</v>
      </c>
      <c r="G101" t="s">
        <v>2684</v>
      </c>
      <c r="H101" t="s">
        <v>2685</v>
      </c>
      <c r="N101" t="s">
        <v>2391</v>
      </c>
    </row>
    <row r="102" spans="1:14">
      <c r="A102" t="s">
        <v>2417</v>
      </c>
      <c r="B102" t="s">
        <v>2417</v>
      </c>
      <c r="C102" t="s">
        <v>72</v>
      </c>
      <c r="E102" t="s">
        <v>72</v>
      </c>
      <c r="G102" t="s">
        <v>2686</v>
      </c>
      <c r="H102" t="s">
        <v>2661</v>
      </c>
      <c r="N102" t="s">
        <v>2414</v>
      </c>
    </row>
    <row r="103" spans="1:14">
      <c r="A103" t="s">
        <v>2418</v>
      </c>
      <c r="B103" t="s">
        <v>2418</v>
      </c>
      <c r="C103" t="s">
        <v>72</v>
      </c>
      <c r="E103" t="s">
        <v>2648</v>
      </c>
      <c r="F103" t="s">
        <v>2687</v>
      </c>
      <c r="G103" t="s">
        <v>2688</v>
      </c>
      <c r="H103" t="s">
        <v>2689</v>
      </c>
      <c r="N103" t="s">
        <v>2414</v>
      </c>
    </row>
    <row r="104" spans="1:14">
      <c r="A104" t="s">
        <v>2381</v>
      </c>
      <c r="B104" t="s">
        <v>2381</v>
      </c>
      <c r="C104" t="s">
        <v>72</v>
      </c>
      <c r="E104" t="s">
        <v>10</v>
      </c>
      <c r="F104" t="s">
        <v>2690</v>
      </c>
      <c r="G104" t="s">
        <v>2691</v>
      </c>
      <c r="H104" t="s">
        <v>2692</v>
      </c>
      <c r="N104" t="s">
        <v>2379</v>
      </c>
    </row>
    <row r="105" spans="1:14">
      <c r="A105" t="s">
        <v>2422</v>
      </c>
      <c r="B105" t="s">
        <v>2422</v>
      </c>
      <c r="C105" t="s">
        <v>72</v>
      </c>
      <c r="E105" t="s">
        <v>10</v>
      </c>
      <c r="F105" t="s">
        <v>2693</v>
      </c>
      <c r="G105" t="s">
        <v>2694</v>
      </c>
      <c r="H105" t="s">
        <v>2695</v>
      </c>
      <c r="N105" t="s">
        <v>2414</v>
      </c>
    </row>
    <row r="106" spans="1:14">
      <c r="A106" t="s">
        <v>2423</v>
      </c>
      <c r="B106" t="s">
        <v>2423</v>
      </c>
      <c r="C106" t="s">
        <v>72</v>
      </c>
      <c r="E106" t="s">
        <v>72</v>
      </c>
      <c r="G106" t="s">
        <v>2696</v>
      </c>
      <c r="H106" t="s">
        <v>2697</v>
      </c>
      <c r="N106" t="s">
        <v>2414</v>
      </c>
    </row>
    <row r="107" spans="1:14">
      <c r="A107" t="s">
        <v>2387</v>
      </c>
      <c r="B107" t="s">
        <v>2387</v>
      </c>
      <c r="C107" t="s">
        <v>72</v>
      </c>
      <c r="E107" t="s">
        <v>72</v>
      </c>
      <c r="G107" t="s">
        <v>2698</v>
      </c>
      <c r="H107" t="s">
        <v>2699</v>
      </c>
      <c r="N107" t="s">
        <v>2384</v>
      </c>
    </row>
    <row r="108" spans="1:14">
      <c r="A108" t="s">
        <v>2400</v>
      </c>
      <c r="B108" t="s">
        <v>2400</v>
      </c>
      <c r="C108" t="s">
        <v>72</v>
      </c>
      <c r="E108" t="s">
        <v>72</v>
      </c>
      <c r="F108" t="s">
        <v>2700</v>
      </c>
      <c r="G108" t="s">
        <v>2701</v>
      </c>
      <c r="H108" t="s">
        <v>2702</v>
      </c>
      <c r="N108" t="s">
        <v>2391</v>
      </c>
    </row>
    <row r="109" spans="1:14">
      <c r="A109" t="s">
        <v>2401</v>
      </c>
      <c r="B109" t="s">
        <v>2402</v>
      </c>
      <c r="C109" t="s">
        <v>72</v>
      </c>
      <c r="E109" t="s">
        <v>10</v>
      </c>
      <c r="F109" t="s">
        <v>2703</v>
      </c>
      <c r="G109" t="s">
        <v>2704</v>
      </c>
      <c r="H109" t="s">
        <v>2705</v>
      </c>
      <c r="N109" t="s">
        <v>2391</v>
      </c>
    </row>
    <row r="110" spans="1:14">
      <c r="A110" t="s">
        <v>2424</v>
      </c>
      <c r="B110" t="s">
        <v>2424</v>
      </c>
      <c r="C110" t="s">
        <v>72</v>
      </c>
      <c r="E110" t="s">
        <v>2648</v>
      </c>
      <c r="F110" t="s">
        <v>2706</v>
      </c>
      <c r="G110" t="s">
        <v>2707</v>
      </c>
      <c r="H110" t="s">
        <v>2708</v>
      </c>
      <c r="N110" t="s">
        <v>2414</v>
      </c>
    </row>
    <row r="111" spans="1:14">
      <c r="A111" t="s">
        <v>2425</v>
      </c>
      <c r="B111" t="s">
        <v>2425</v>
      </c>
      <c r="C111" t="s">
        <v>72</v>
      </c>
      <c r="E111" t="s">
        <v>2648</v>
      </c>
      <c r="F111" t="s">
        <v>2709</v>
      </c>
      <c r="G111" t="s">
        <v>2710</v>
      </c>
      <c r="H111" t="s">
        <v>2659</v>
      </c>
      <c r="N111" t="s">
        <v>2414</v>
      </c>
    </row>
    <row r="112" spans="1:14">
      <c r="A112" t="s">
        <v>2262</v>
      </c>
      <c r="B112" t="s">
        <v>2262</v>
      </c>
      <c r="C112" t="s">
        <v>72</v>
      </c>
      <c r="E112" t="s">
        <v>72</v>
      </c>
      <c r="G112" t="s">
        <v>2711</v>
      </c>
      <c r="H112" t="s">
        <v>2712</v>
      </c>
      <c r="N112" t="s">
        <v>2377</v>
      </c>
    </row>
    <row r="113" spans="1:15">
      <c r="A113" t="s">
        <v>2440</v>
      </c>
      <c r="B113" t="s">
        <v>2440</v>
      </c>
      <c r="C113" t="s">
        <v>72</v>
      </c>
      <c r="E113" t="s">
        <v>10</v>
      </c>
      <c r="G113" t="s">
        <v>2713</v>
      </c>
      <c r="H113" t="s">
        <v>2669</v>
      </c>
      <c r="N113" t="s">
        <v>2433</v>
      </c>
    </row>
    <row r="114" spans="1:15">
      <c r="A114" t="s">
        <v>2267</v>
      </c>
      <c r="B114" t="s">
        <v>2267</v>
      </c>
      <c r="C114" t="s">
        <v>72</v>
      </c>
      <c r="E114" t="s">
        <v>2648</v>
      </c>
      <c r="F114" t="s">
        <v>2714</v>
      </c>
      <c r="G114" t="s">
        <v>2715</v>
      </c>
      <c r="H114" t="s">
        <v>2689</v>
      </c>
      <c r="N114" t="s">
        <v>2414</v>
      </c>
    </row>
    <row r="115" spans="1:15">
      <c r="A115" t="s">
        <v>2388</v>
      </c>
      <c r="B115" t="s">
        <v>2388</v>
      </c>
      <c r="C115" t="s">
        <v>72</v>
      </c>
      <c r="E115" t="s">
        <v>72</v>
      </c>
      <c r="G115" t="s">
        <v>2716</v>
      </c>
      <c r="H115" t="s">
        <v>2685</v>
      </c>
      <c r="N115" t="s">
        <v>2384</v>
      </c>
      <c r="O115" t="s">
        <v>2372</v>
      </c>
    </row>
    <row r="116" spans="1:15">
      <c r="A116" t="s">
        <v>2389</v>
      </c>
      <c r="B116" t="s">
        <v>2389</v>
      </c>
      <c r="C116" t="s">
        <v>72</v>
      </c>
      <c r="E116" t="s">
        <v>72</v>
      </c>
      <c r="F116" t="s">
        <v>2717</v>
      </c>
      <c r="G116" t="s">
        <v>2718</v>
      </c>
      <c r="H116" t="s">
        <v>2672</v>
      </c>
      <c r="N116" t="s">
        <v>2384</v>
      </c>
      <c r="O116" t="s">
        <v>2380</v>
      </c>
    </row>
    <row r="117" spans="1:15">
      <c r="A117" t="s">
        <v>2441</v>
      </c>
      <c r="B117" t="s">
        <v>2441</v>
      </c>
      <c r="C117" t="s">
        <v>72</v>
      </c>
      <c r="E117" t="s">
        <v>72</v>
      </c>
      <c r="G117" t="s">
        <v>2719</v>
      </c>
      <c r="H117" t="s">
        <v>2659</v>
      </c>
      <c r="N117" t="s">
        <v>2433</v>
      </c>
      <c r="O117" t="s">
        <v>2380</v>
      </c>
    </row>
    <row r="118" spans="1:15">
      <c r="A118" t="s">
        <v>2442</v>
      </c>
      <c r="B118" t="s">
        <v>2442</v>
      </c>
      <c r="C118" t="s">
        <v>72</v>
      </c>
      <c r="E118" t="s">
        <v>72</v>
      </c>
      <c r="F118" t="s">
        <v>2720</v>
      </c>
      <c r="G118" t="s">
        <v>2721</v>
      </c>
      <c r="H118" t="s">
        <v>2669</v>
      </c>
      <c r="N118" t="s">
        <v>2433</v>
      </c>
      <c r="O118" t="s">
        <v>2380</v>
      </c>
    </row>
    <row r="119" spans="1:15">
      <c r="A119" t="s">
        <v>2383</v>
      </c>
      <c r="B119" t="s">
        <v>2383</v>
      </c>
      <c r="C119" t="s">
        <v>72</v>
      </c>
      <c r="E119" t="s">
        <v>72</v>
      </c>
      <c r="F119" t="s">
        <v>2726</v>
      </c>
      <c r="G119" t="s">
        <v>2727</v>
      </c>
      <c r="H119" t="s">
        <v>2650</v>
      </c>
      <c r="N119" t="s">
        <v>2379</v>
      </c>
      <c r="O119" t="s">
        <v>2385</v>
      </c>
    </row>
    <row r="120" spans="1:15">
      <c r="A120" t="s">
        <v>2390</v>
      </c>
      <c r="B120" t="s">
        <v>2390</v>
      </c>
      <c r="C120" t="s">
        <v>72</v>
      </c>
      <c r="E120" t="s">
        <v>72</v>
      </c>
      <c r="F120" t="s">
        <v>2728</v>
      </c>
      <c r="G120" t="s">
        <v>2729</v>
      </c>
      <c r="H120" t="s">
        <v>2692</v>
      </c>
      <c r="N120" t="s">
        <v>2384</v>
      </c>
      <c r="O120" t="s">
        <v>2385</v>
      </c>
    </row>
    <row r="121" spans="1:15">
      <c r="A121" t="s">
        <v>2428</v>
      </c>
      <c r="B121" t="s">
        <v>2429</v>
      </c>
      <c r="C121" t="s">
        <v>72</v>
      </c>
      <c r="E121" t="s">
        <v>10</v>
      </c>
      <c r="F121" t="s">
        <v>2730</v>
      </c>
      <c r="G121" t="s">
        <v>2731</v>
      </c>
      <c r="H121" t="s">
        <v>2732</v>
      </c>
      <c r="N121" t="s">
        <v>2414</v>
      </c>
      <c r="O121" t="s">
        <v>2385</v>
      </c>
    </row>
    <row r="122" spans="1:15">
      <c r="A122" t="s">
        <v>2430</v>
      </c>
      <c r="B122" t="s">
        <v>2430</v>
      </c>
      <c r="C122" t="s">
        <v>72</v>
      </c>
      <c r="E122" t="s">
        <v>72</v>
      </c>
      <c r="G122" t="s">
        <v>2733</v>
      </c>
      <c r="H122" t="s">
        <v>2734</v>
      </c>
      <c r="N122" t="s">
        <v>2414</v>
      </c>
      <c r="O122" t="s">
        <v>2392</v>
      </c>
    </row>
    <row r="123" spans="1:15">
      <c r="A123" t="s">
        <v>2405</v>
      </c>
      <c r="B123" t="s">
        <v>2405</v>
      </c>
      <c r="C123" t="s">
        <v>72</v>
      </c>
      <c r="E123" t="s">
        <v>10</v>
      </c>
      <c r="F123" t="s">
        <v>2735</v>
      </c>
      <c r="G123" t="s">
        <v>2736</v>
      </c>
      <c r="H123" t="s">
        <v>2737</v>
      </c>
      <c r="N123" t="s">
        <v>2406</v>
      </c>
      <c r="O123" t="s">
        <v>2392</v>
      </c>
    </row>
    <row r="124" spans="1:15">
      <c r="A124" t="s">
        <v>2443</v>
      </c>
      <c r="B124" t="s">
        <v>2443</v>
      </c>
      <c r="C124" t="s">
        <v>72</v>
      </c>
      <c r="E124" t="s">
        <v>10</v>
      </c>
      <c r="F124" t="s">
        <v>2738</v>
      </c>
      <c r="G124" t="s">
        <v>2739</v>
      </c>
      <c r="H124" t="s">
        <v>2740</v>
      </c>
      <c r="N124" t="s">
        <v>2433</v>
      </c>
      <c r="O124" t="s">
        <v>2392</v>
      </c>
    </row>
    <row r="125" spans="1:15">
      <c r="A125" s="19" t="s">
        <v>2403</v>
      </c>
      <c r="B125" s="19" t="s">
        <v>2404</v>
      </c>
      <c r="C125" s="19" t="s">
        <v>72</v>
      </c>
      <c r="D125" s="19"/>
      <c r="E125" s="19" t="s">
        <v>2648</v>
      </c>
      <c r="F125" s="19"/>
      <c r="G125" s="19" t="s">
        <v>2741</v>
      </c>
      <c r="H125" s="19" t="s">
        <v>2661</v>
      </c>
      <c r="I125" s="19"/>
      <c r="J125" s="19"/>
      <c r="K125" s="19"/>
      <c r="L125" s="19"/>
      <c r="M125" s="19"/>
      <c r="N125" s="19" t="s">
        <v>2391</v>
      </c>
      <c r="O125" s="19" t="s">
        <v>2407</v>
      </c>
    </row>
    <row r="126" spans="1:15">
      <c r="A126" t="s">
        <v>2636</v>
      </c>
      <c r="C126" s="3">
        <f>28/(130-34-11)</f>
        <v>0.32941176470588235</v>
      </c>
      <c r="H126" t="s">
        <v>1420</v>
      </c>
      <c r="I126" s="17">
        <f>MEDIAN(I2:I29)</f>
        <v>1.2769999999999999</v>
      </c>
      <c r="J126" s="17">
        <f>MEDIAN(J2:J29)</f>
        <v>0.93400000000000005</v>
      </c>
    </row>
    <row r="127" spans="1:15">
      <c r="H127" t="s">
        <v>2646</v>
      </c>
      <c r="I127" s="17">
        <f>AVERAGE(I2:I29)</f>
        <v>1.9014210526315791</v>
      </c>
      <c r="J127" s="17">
        <f>AVERAGE(J2:J29)</f>
        <v>1.1551428571428572</v>
      </c>
    </row>
  </sheetData>
  <sortState xmlns:xlrd2="http://schemas.microsoft.com/office/spreadsheetml/2017/richdata2" ref="A2:N29">
    <sortCondition ref="A1:A29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DB81F-6EED-0C4C-95CE-32EAA0DF2266}">
  <sheetPr>
    <tabColor theme="9" tint="0.59999389629810485"/>
  </sheetPr>
  <dimension ref="A1:O58"/>
  <sheetViews>
    <sheetView workbookViewId="0">
      <selection activeCell="G57" sqref="G57:H58"/>
    </sheetView>
  </sheetViews>
  <sheetFormatPr baseColWidth="10" defaultRowHeight="16"/>
  <cols>
    <col min="1" max="1" width="30.1640625" customWidth="1"/>
  </cols>
  <sheetData>
    <row r="1" spans="1:15">
      <c r="A1" t="s">
        <v>1708</v>
      </c>
      <c r="B1" t="s">
        <v>2</v>
      </c>
      <c r="C1" t="s">
        <v>1711</v>
      </c>
      <c r="D1" t="s">
        <v>1712</v>
      </c>
      <c r="E1" t="s">
        <v>5</v>
      </c>
      <c r="F1" t="s">
        <v>6</v>
      </c>
      <c r="G1" t="s">
        <v>1713</v>
      </c>
      <c r="H1" t="s">
        <v>2642</v>
      </c>
      <c r="I1" t="s">
        <v>1714</v>
      </c>
      <c r="J1" t="s">
        <v>1715</v>
      </c>
      <c r="K1" t="s">
        <v>1709</v>
      </c>
      <c r="L1" t="s">
        <v>1710</v>
      </c>
    </row>
    <row r="2" spans="1:15">
      <c r="A2" t="s">
        <v>1836</v>
      </c>
      <c r="B2" t="s">
        <v>1841</v>
      </c>
      <c r="C2" t="s">
        <v>1842</v>
      </c>
      <c r="D2" t="s">
        <v>1840</v>
      </c>
      <c r="E2" t="s">
        <v>1839</v>
      </c>
      <c r="F2" t="s">
        <v>1363</v>
      </c>
      <c r="G2" s="17">
        <v>6.0000000000000001E-3</v>
      </c>
      <c r="H2" s="17">
        <v>7.7</v>
      </c>
      <c r="I2" t="s">
        <v>2641</v>
      </c>
      <c r="J2" t="s">
        <v>2640</v>
      </c>
      <c r="L2">
        <v>2012</v>
      </c>
    </row>
    <row r="3" spans="1:15">
      <c r="A3" t="s">
        <v>1789</v>
      </c>
      <c r="B3" t="s">
        <v>1793</v>
      </c>
      <c r="C3" t="s">
        <v>1794</v>
      </c>
      <c r="E3" t="s">
        <v>1791</v>
      </c>
      <c r="F3" t="s">
        <v>1792</v>
      </c>
      <c r="G3" s="17">
        <v>0.05</v>
      </c>
      <c r="H3" s="17"/>
      <c r="I3" t="s">
        <v>2641</v>
      </c>
      <c r="J3" t="s">
        <v>1795</v>
      </c>
      <c r="L3">
        <v>1996</v>
      </c>
    </row>
    <row r="4" spans="1:15">
      <c r="A4" t="s">
        <v>1811</v>
      </c>
      <c r="B4" t="s">
        <v>1816</v>
      </c>
      <c r="C4" t="s">
        <v>1817</v>
      </c>
      <c r="D4" t="s">
        <v>1815</v>
      </c>
      <c r="E4" t="s">
        <v>1814</v>
      </c>
      <c r="F4" t="s">
        <v>1808</v>
      </c>
      <c r="G4" s="17">
        <v>0.3</v>
      </c>
      <c r="H4" s="17"/>
      <c r="I4" t="s">
        <v>2641</v>
      </c>
      <c r="L4">
        <v>2005</v>
      </c>
    </row>
    <row r="5" spans="1:15">
      <c r="A5" t="s">
        <v>1767</v>
      </c>
      <c r="B5" t="s">
        <v>1771</v>
      </c>
      <c r="C5" t="s">
        <v>1772</v>
      </c>
      <c r="D5" t="s">
        <v>1770</v>
      </c>
      <c r="E5" t="s">
        <v>1768</v>
      </c>
      <c r="F5" t="s">
        <v>1769</v>
      </c>
      <c r="G5" s="17">
        <v>0.68</v>
      </c>
      <c r="H5" s="17"/>
      <c r="I5" t="s">
        <v>2630</v>
      </c>
      <c r="J5" t="s">
        <v>1773</v>
      </c>
      <c r="M5" t="s">
        <v>2639</v>
      </c>
    </row>
    <row r="6" spans="1:15">
      <c r="A6" t="s">
        <v>1901</v>
      </c>
      <c r="B6" t="s">
        <v>1903</v>
      </c>
      <c r="C6" s="4">
        <v>42517</v>
      </c>
      <c r="E6" t="s">
        <v>1814</v>
      </c>
      <c r="F6" t="s">
        <v>1808</v>
      </c>
      <c r="G6" s="17"/>
      <c r="H6" s="17"/>
      <c r="I6" t="s">
        <v>2641</v>
      </c>
      <c r="J6" t="s">
        <v>1904</v>
      </c>
      <c r="L6">
        <v>2004</v>
      </c>
    </row>
    <row r="7" spans="1:15">
      <c r="A7" t="s">
        <v>1009</v>
      </c>
      <c r="B7" t="s">
        <v>1899</v>
      </c>
      <c r="C7" t="s">
        <v>1900</v>
      </c>
      <c r="D7" t="s">
        <v>1898</v>
      </c>
      <c r="E7" t="s">
        <v>1896</v>
      </c>
      <c r="F7" t="s">
        <v>1897</v>
      </c>
      <c r="G7" s="17">
        <f>6.74*1.2</f>
        <v>8.0879999999999992</v>
      </c>
      <c r="H7" s="17">
        <v>4</v>
      </c>
      <c r="I7" t="s">
        <v>2631</v>
      </c>
      <c r="J7" t="s">
        <v>2645</v>
      </c>
      <c r="L7">
        <v>2003</v>
      </c>
    </row>
    <row r="8" spans="1:15">
      <c r="A8" t="s">
        <v>2629</v>
      </c>
      <c r="B8" t="s">
        <v>10</v>
      </c>
      <c r="C8" t="s">
        <v>1724</v>
      </c>
      <c r="E8" t="s">
        <v>2609</v>
      </c>
      <c r="F8" t="s">
        <v>1725</v>
      </c>
      <c r="G8" s="17" t="s">
        <v>1726</v>
      </c>
      <c r="H8" s="17"/>
      <c r="I8" t="s">
        <v>2610</v>
      </c>
      <c r="J8" t="s">
        <v>1727</v>
      </c>
      <c r="K8" t="s">
        <v>2607</v>
      </c>
      <c r="L8" t="s">
        <v>2608</v>
      </c>
    </row>
    <row r="9" spans="1:15">
      <c r="A9" t="s">
        <v>1728</v>
      </c>
      <c r="B9" t="s">
        <v>10</v>
      </c>
      <c r="C9" t="s">
        <v>1730</v>
      </c>
      <c r="E9" t="s">
        <v>1731</v>
      </c>
      <c r="F9" t="s">
        <v>1732</v>
      </c>
      <c r="G9" s="17"/>
      <c r="H9" s="17"/>
      <c r="I9" t="s">
        <v>1733</v>
      </c>
      <c r="J9" t="s">
        <v>1734</v>
      </c>
      <c r="K9" t="s">
        <v>1729</v>
      </c>
      <c r="L9" t="s">
        <v>2608</v>
      </c>
    </row>
    <row r="10" spans="1:15">
      <c r="A10" t="s">
        <v>2611</v>
      </c>
      <c r="B10" t="s">
        <v>10</v>
      </c>
      <c r="C10" t="s">
        <v>1736</v>
      </c>
      <c r="E10" t="s">
        <v>1731</v>
      </c>
      <c r="F10" t="s">
        <v>1732</v>
      </c>
      <c r="G10" s="17"/>
      <c r="H10" s="17"/>
      <c r="I10" t="s">
        <v>1737</v>
      </c>
      <c r="J10" t="s">
        <v>1738</v>
      </c>
      <c r="K10" t="s">
        <v>1735</v>
      </c>
      <c r="L10" t="s">
        <v>2608</v>
      </c>
    </row>
    <row r="11" spans="1:15">
      <c r="A11" t="s">
        <v>1739</v>
      </c>
      <c r="B11" t="s">
        <v>10</v>
      </c>
      <c r="C11" t="s">
        <v>1743</v>
      </c>
      <c r="D11" t="s">
        <v>1742</v>
      </c>
      <c r="E11" t="s">
        <v>1740</v>
      </c>
      <c r="F11" t="s">
        <v>1741</v>
      </c>
      <c r="G11" s="17"/>
      <c r="H11" s="17"/>
      <c r="I11" t="s">
        <v>1744</v>
      </c>
      <c r="J11" t="s">
        <v>1745</v>
      </c>
    </row>
    <row r="12" spans="1:15">
      <c r="A12" t="s">
        <v>1746</v>
      </c>
      <c r="B12" t="s">
        <v>10</v>
      </c>
      <c r="C12" t="s">
        <v>1750</v>
      </c>
      <c r="D12" t="s">
        <v>1749</v>
      </c>
      <c r="E12" t="s">
        <v>1747</v>
      </c>
      <c r="F12" t="s">
        <v>1748</v>
      </c>
      <c r="G12" s="17">
        <v>0.03</v>
      </c>
      <c r="H12" s="17"/>
      <c r="I12" t="s">
        <v>1751</v>
      </c>
      <c r="J12" t="s">
        <v>1752</v>
      </c>
      <c r="O12" t="s">
        <v>1775</v>
      </c>
    </row>
    <row r="13" spans="1:15">
      <c r="A13" t="s">
        <v>1774</v>
      </c>
      <c r="B13" t="s">
        <v>10</v>
      </c>
      <c r="C13" t="s">
        <v>1779</v>
      </c>
      <c r="D13" t="s">
        <v>1778</v>
      </c>
      <c r="E13" t="s">
        <v>1776</v>
      </c>
      <c r="F13" t="s">
        <v>1777</v>
      </c>
      <c r="G13" s="17">
        <v>3.2</v>
      </c>
      <c r="H13" s="17"/>
      <c r="I13" t="s">
        <v>1422</v>
      </c>
      <c r="J13" t="s">
        <v>1780</v>
      </c>
      <c r="L13">
        <v>1993</v>
      </c>
      <c r="N13" t="s">
        <v>1782</v>
      </c>
      <c r="O13" t="s">
        <v>1783</v>
      </c>
    </row>
    <row r="14" spans="1:15">
      <c r="A14" t="s">
        <v>1781</v>
      </c>
      <c r="B14" t="s">
        <v>10</v>
      </c>
      <c r="C14" t="s">
        <v>1787</v>
      </c>
      <c r="D14" t="s">
        <v>1786</v>
      </c>
      <c r="E14" t="s">
        <v>1784</v>
      </c>
      <c r="F14" t="s">
        <v>1785</v>
      </c>
      <c r="G14" s="17">
        <v>2.0299999999999998</v>
      </c>
      <c r="H14" s="17"/>
      <c r="I14" t="s">
        <v>1422</v>
      </c>
      <c r="J14" t="s">
        <v>1788</v>
      </c>
      <c r="L14">
        <v>1996</v>
      </c>
      <c r="O14" t="s">
        <v>1790</v>
      </c>
    </row>
    <row r="15" spans="1:15">
      <c r="A15" t="s">
        <v>1796</v>
      </c>
      <c r="B15" t="s">
        <v>10</v>
      </c>
      <c r="C15" t="s">
        <v>1802</v>
      </c>
      <c r="D15" t="s">
        <v>1801</v>
      </c>
      <c r="E15" t="s">
        <v>1799</v>
      </c>
      <c r="F15" t="s">
        <v>1800</v>
      </c>
      <c r="G15" s="17">
        <v>4.43</v>
      </c>
      <c r="H15" s="17"/>
      <c r="I15" t="s">
        <v>1422</v>
      </c>
      <c r="J15" t="s">
        <v>1803</v>
      </c>
      <c r="L15">
        <v>2004</v>
      </c>
      <c r="N15" t="s">
        <v>1797</v>
      </c>
      <c r="O15" t="s">
        <v>1798</v>
      </c>
    </row>
    <row r="16" spans="1:15">
      <c r="A16" t="s">
        <v>1804</v>
      </c>
      <c r="B16" t="s">
        <v>10</v>
      </c>
      <c r="C16" t="s">
        <v>1810</v>
      </c>
      <c r="D16" t="s">
        <v>1809</v>
      </c>
      <c r="E16" t="s">
        <v>1807</v>
      </c>
      <c r="F16" t="s">
        <v>1808</v>
      </c>
      <c r="G16" s="17"/>
      <c r="H16" s="17"/>
      <c r="I16" t="s">
        <v>1422</v>
      </c>
      <c r="L16">
        <v>2009</v>
      </c>
      <c r="N16" t="s">
        <v>1805</v>
      </c>
      <c r="O16" t="s">
        <v>1806</v>
      </c>
    </row>
    <row r="17" spans="1:15">
      <c r="A17" t="s">
        <v>1818</v>
      </c>
      <c r="B17" t="s">
        <v>10</v>
      </c>
      <c r="C17" t="s">
        <v>1823</v>
      </c>
      <c r="D17" t="s">
        <v>1822</v>
      </c>
      <c r="E17" t="s">
        <v>1820</v>
      </c>
      <c r="F17" t="s">
        <v>1821</v>
      </c>
      <c r="G17" s="17">
        <v>2.0499999999999998</v>
      </c>
      <c r="H17" s="17">
        <v>2.4</v>
      </c>
      <c r="I17" t="s">
        <v>1422</v>
      </c>
      <c r="J17" t="s">
        <v>2644</v>
      </c>
      <c r="L17">
        <v>2011</v>
      </c>
      <c r="N17" t="s">
        <v>1812</v>
      </c>
      <c r="O17" t="s">
        <v>1813</v>
      </c>
    </row>
    <row r="18" spans="1:15">
      <c r="A18" t="s">
        <v>1824</v>
      </c>
      <c r="B18" t="s">
        <v>10</v>
      </c>
      <c r="C18" t="s">
        <v>1829</v>
      </c>
      <c r="D18" t="s">
        <v>1828</v>
      </c>
      <c r="E18" t="s">
        <v>1826</v>
      </c>
      <c r="F18" t="s">
        <v>1827</v>
      </c>
      <c r="G18" s="17"/>
      <c r="H18" s="17"/>
      <c r="I18" t="s">
        <v>1422</v>
      </c>
      <c r="L18">
        <v>2008</v>
      </c>
      <c r="O18" t="s">
        <v>1819</v>
      </c>
    </row>
    <row r="19" spans="1:15">
      <c r="A19" t="s">
        <v>1830</v>
      </c>
      <c r="B19" t="s">
        <v>10</v>
      </c>
      <c r="C19" t="s">
        <v>1835</v>
      </c>
      <c r="D19" t="s">
        <v>1834</v>
      </c>
      <c r="E19" t="s">
        <v>1832</v>
      </c>
      <c r="F19" t="s">
        <v>1833</v>
      </c>
      <c r="G19" s="17"/>
      <c r="H19" s="17"/>
      <c r="I19" t="s">
        <v>1422</v>
      </c>
      <c r="L19">
        <v>2008</v>
      </c>
      <c r="O19" t="s">
        <v>1825</v>
      </c>
    </row>
    <row r="20" spans="1:15">
      <c r="A20" t="s">
        <v>1843</v>
      </c>
      <c r="B20" t="s">
        <v>10</v>
      </c>
      <c r="C20" t="s">
        <v>1847</v>
      </c>
      <c r="D20" t="s">
        <v>1846</v>
      </c>
      <c r="E20" t="s">
        <v>1845</v>
      </c>
      <c r="F20" t="s">
        <v>1363</v>
      </c>
      <c r="G20" s="17"/>
      <c r="H20" s="17">
        <v>5.8</v>
      </c>
      <c r="I20" t="s">
        <v>1422</v>
      </c>
      <c r="L20">
        <v>2010</v>
      </c>
      <c r="O20" t="s">
        <v>1831</v>
      </c>
    </row>
    <row r="21" spans="1:15">
      <c r="A21" t="s">
        <v>1848</v>
      </c>
      <c r="B21" t="s">
        <v>10</v>
      </c>
      <c r="C21" t="s">
        <v>1854</v>
      </c>
      <c r="D21" t="s">
        <v>1853</v>
      </c>
      <c r="E21" t="s">
        <v>1851</v>
      </c>
      <c r="F21" t="s">
        <v>1852</v>
      </c>
      <c r="G21" s="17"/>
      <c r="H21" s="17">
        <v>0.22500000000000001</v>
      </c>
      <c r="I21" t="s">
        <v>1422</v>
      </c>
      <c r="J21" t="s">
        <v>2643</v>
      </c>
      <c r="L21">
        <v>2015</v>
      </c>
      <c r="N21" t="s">
        <v>1837</v>
      </c>
      <c r="O21" t="s">
        <v>1838</v>
      </c>
    </row>
    <row r="22" spans="1:15">
      <c r="A22" t="s">
        <v>1962</v>
      </c>
      <c r="B22" t="s">
        <v>10</v>
      </c>
      <c r="C22" t="s">
        <v>1963</v>
      </c>
      <c r="E22" t="s">
        <v>2613</v>
      </c>
      <c r="F22" t="s">
        <v>2614</v>
      </c>
      <c r="G22" s="17"/>
      <c r="H22" s="17"/>
      <c r="O22" t="s">
        <v>1844</v>
      </c>
    </row>
    <row r="23" spans="1:15">
      <c r="A23" t="s">
        <v>1958</v>
      </c>
      <c r="B23" t="s">
        <v>10</v>
      </c>
      <c r="C23" t="s">
        <v>1959</v>
      </c>
      <c r="D23" t="s">
        <v>2612</v>
      </c>
      <c r="E23" t="s">
        <v>1960</v>
      </c>
      <c r="F23" t="s">
        <v>1957</v>
      </c>
      <c r="G23" s="17">
        <v>0.55300000000000005</v>
      </c>
      <c r="H23" s="17"/>
      <c r="N23" t="s">
        <v>1849</v>
      </c>
      <c r="O23" t="s">
        <v>1850</v>
      </c>
    </row>
    <row r="24" spans="1:15">
      <c r="A24" t="s">
        <v>1982</v>
      </c>
      <c r="B24" t="s">
        <v>1983</v>
      </c>
      <c r="D24" t="s">
        <v>1984</v>
      </c>
      <c r="E24" t="s">
        <v>1985</v>
      </c>
      <c r="F24" t="s">
        <v>261</v>
      </c>
      <c r="G24" s="17"/>
      <c r="H24" s="17"/>
      <c r="N24" t="s">
        <v>1856</v>
      </c>
      <c r="O24" t="s">
        <v>1857</v>
      </c>
    </row>
    <row r="25" spans="1:15">
      <c r="A25" t="s">
        <v>1994</v>
      </c>
      <c r="B25" t="s">
        <v>1983</v>
      </c>
      <c r="D25" t="s">
        <v>1995</v>
      </c>
      <c r="E25" t="s">
        <v>1996</v>
      </c>
      <c r="F25" t="s">
        <v>1997</v>
      </c>
      <c r="G25" s="17"/>
      <c r="H25" s="17"/>
      <c r="N25" t="s">
        <v>1863</v>
      </c>
      <c r="O25" t="s">
        <v>1864</v>
      </c>
    </row>
    <row r="26" spans="1:15">
      <c r="A26" t="s">
        <v>1906</v>
      </c>
      <c r="B26" t="s">
        <v>1910</v>
      </c>
      <c r="E26" t="s">
        <v>1909</v>
      </c>
      <c r="F26" t="s">
        <v>261</v>
      </c>
      <c r="G26" s="17"/>
      <c r="H26" s="17"/>
      <c r="I26" t="s">
        <v>1860</v>
      </c>
      <c r="J26" t="s">
        <v>1911</v>
      </c>
      <c r="L26">
        <v>2005</v>
      </c>
      <c r="N26" t="s">
        <v>1868</v>
      </c>
      <c r="O26" t="s">
        <v>1869</v>
      </c>
    </row>
    <row r="27" spans="1:15">
      <c r="A27" t="s">
        <v>1721</v>
      </c>
      <c r="B27" t="s">
        <v>1722</v>
      </c>
      <c r="E27" t="s">
        <v>2605</v>
      </c>
      <c r="F27" t="s">
        <v>2606</v>
      </c>
      <c r="G27" s="17"/>
      <c r="H27" s="17"/>
      <c r="I27" t="s">
        <v>1723</v>
      </c>
      <c r="J27" t="s">
        <v>1720</v>
      </c>
      <c r="K27" t="s">
        <v>1717</v>
      </c>
      <c r="L27" t="s">
        <v>2628</v>
      </c>
      <c r="N27" t="s">
        <v>1875</v>
      </c>
      <c r="O27" t="s">
        <v>1876</v>
      </c>
    </row>
    <row r="28" spans="1:15">
      <c r="A28" t="s">
        <v>2624</v>
      </c>
      <c r="B28" t="s">
        <v>1986</v>
      </c>
      <c r="E28" t="s">
        <v>2625</v>
      </c>
      <c r="F28" t="s">
        <v>1987</v>
      </c>
      <c r="G28" s="17"/>
      <c r="H28" s="17"/>
      <c r="N28" t="s">
        <v>1881</v>
      </c>
      <c r="O28" t="s">
        <v>1882</v>
      </c>
    </row>
    <row r="29" spans="1:15">
      <c r="A29" t="s">
        <v>1716</v>
      </c>
      <c r="B29" t="s">
        <v>72</v>
      </c>
      <c r="E29" t="s">
        <v>1718</v>
      </c>
      <c r="F29" t="s">
        <v>1644</v>
      </c>
      <c r="I29" t="s">
        <v>1719</v>
      </c>
      <c r="J29" t="s">
        <v>1720</v>
      </c>
      <c r="K29" t="s">
        <v>1717</v>
      </c>
      <c r="L29" t="s">
        <v>2627</v>
      </c>
      <c r="N29" t="s">
        <v>1888</v>
      </c>
      <c r="O29" t="s">
        <v>1889</v>
      </c>
    </row>
    <row r="30" spans="1:15">
      <c r="A30" t="s">
        <v>1753</v>
      </c>
      <c r="B30" t="s">
        <v>72</v>
      </c>
      <c r="D30" t="s">
        <v>1756</v>
      </c>
      <c r="E30" t="s">
        <v>1754</v>
      </c>
      <c r="F30" t="s">
        <v>1755</v>
      </c>
      <c r="I30" t="s">
        <v>1757</v>
      </c>
      <c r="J30" t="s">
        <v>1745</v>
      </c>
      <c r="N30" t="s">
        <v>1894</v>
      </c>
      <c r="O30" t="s">
        <v>1895</v>
      </c>
    </row>
    <row r="31" spans="1:15">
      <c r="A31" t="s">
        <v>1716</v>
      </c>
      <c r="B31" t="s">
        <v>72</v>
      </c>
      <c r="D31" t="s">
        <v>1760</v>
      </c>
      <c r="E31" t="s">
        <v>1758</v>
      </c>
      <c r="F31" t="s">
        <v>1759</v>
      </c>
      <c r="I31" t="s">
        <v>1761</v>
      </c>
      <c r="J31" t="s">
        <v>1745</v>
      </c>
      <c r="O31" t="s">
        <v>1902</v>
      </c>
    </row>
    <row r="32" spans="1:15">
      <c r="A32" t="s">
        <v>1762</v>
      </c>
      <c r="B32" t="s">
        <v>72</v>
      </c>
      <c r="D32" t="s">
        <v>1765</v>
      </c>
      <c r="E32" t="s">
        <v>1763</v>
      </c>
      <c r="F32" t="s">
        <v>1764</v>
      </c>
      <c r="I32" t="s">
        <v>1766</v>
      </c>
      <c r="J32" t="s">
        <v>1720</v>
      </c>
      <c r="N32" t="s">
        <v>1797</v>
      </c>
      <c r="O32" t="s">
        <v>1798</v>
      </c>
    </row>
    <row r="33" spans="1:15">
      <c r="A33" t="s">
        <v>1855</v>
      </c>
      <c r="B33" t="s">
        <v>72</v>
      </c>
      <c r="E33" t="s">
        <v>1858</v>
      </c>
      <c r="F33" t="s">
        <v>1859</v>
      </c>
      <c r="I33" t="s">
        <v>1860</v>
      </c>
      <c r="J33" t="s">
        <v>1861</v>
      </c>
      <c r="L33">
        <v>1997</v>
      </c>
      <c r="N33" t="s">
        <v>1907</v>
      </c>
      <c r="O33" t="s">
        <v>1908</v>
      </c>
    </row>
    <row r="34" spans="1:15">
      <c r="A34" t="s">
        <v>1862</v>
      </c>
      <c r="B34" t="s">
        <v>72</v>
      </c>
      <c r="E34" t="s">
        <v>1858</v>
      </c>
      <c r="F34" t="s">
        <v>1865</v>
      </c>
      <c r="I34" t="s">
        <v>1860</v>
      </c>
      <c r="J34" t="s">
        <v>1866</v>
      </c>
      <c r="L34">
        <v>1998</v>
      </c>
      <c r="N34" t="s">
        <v>1913</v>
      </c>
      <c r="O34" t="s">
        <v>1914</v>
      </c>
    </row>
    <row r="35" spans="1:15">
      <c r="A35" t="s">
        <v>1867</v>
      </c>
      <c r="B35" t="s">
        <v>72</v>
      </c>
      <c r="D35" t="s">
        <v>1872</v>
      </c>
      <c r="E35" t="s">
        <v>1870</v>
      </c>
      <c r="F35" t="s">
        <v>1871</v>
      </c>
      <c r="I35" t="s">
        <v>1860</v>
      </c>
      <c r="J35" t="s">
        <v>1873</v>
      </c>
      <c r="L35">
        <v>1997</v>
      </c>
      <c r="N35" t="s">
        <v>1918</v>
      </c>
      <c r="O35" t="s">
        <v>1919</v>
      </c>
    </row>
    <row r="36" spans="1:15">
      <c r="A36" t="s">
        <v>1874</v>
      </c>
      <c r="B36" t="s">
        <v>72</v>
      </c>
      <c r="E36" t="s">
        <v>1877</v>
      </c>
      <c r="F36" t="s">
        <v>1878</v>
      </c>
      <c r="I36" t="s">
        <v>1185</v>
      </c>
      <c r="J36" t="s">
        <v>1879</v>
      </c>
      <c r="L36">
        <v>2002</v>
      </c>
      <c r="N36" t="s">
        <v>1925</v>
      </c>
      <c r="O36" t="s">
        <v>1926</v>
      </c>
    </row>
    <row r="37" spans="1:15">
      <c r="A37" t="s">
        <v>1880</v>
      </c>
      <c r="B37" t="s">
        <v>72</v>
      </c>
      <c r="E37" t="s">
        <v>1883</v>
      </c>
      <c r="F37" t="s">
        <v>1884</v>
      </c>
      <c r="I37" t="s">
        <v>1885</v>
      </c>
      <c r="J37" t="s">
        <v>1886</v>
      </c>
      <c r="L37">
        <v>2003</v>
      </c>
      <c r="N37" t="s">
        <v>1932</v>
      </c>
      <c r="O37" t="s">
        <v>1933</v>
      </c>
    </row>
    <row r="38" spans="1:15">
      <c r="A38" t="s">
        <v>1887</v>
      </c>
      <c r="B38" t="s">
        <v>72</v>
      </c>
      <c r="D38" t="s">
        <v>1892</v>
      </c>
      <c r="E38" t="s">
        <v>1890</v>
      </c>
      <c r="F38" t="s">
        <v>1891</v>
      </c>
      <c r="I38" t="s">
        <v>1860</v>
      </c>
      <c r="J38" t="s">
        <v>1893</v>
      </c>
      <c r="L38">
        <v>2003</v>
      </c>
      <c r="N38" t="s">
        <v>1940</v>
      </c>
      <c r="O38" t="s">
        <v>2632</v>
      </c>
    </row>
    <row r="39" spans="1:15">
      <c r="A39" t="s">
        <v>1912</v>
      </c>
      <c r="B39" t="s">
        <v>72</v>
      </c>
      <c r="E39" t="s">
        <v>1915</v>
      </c>
      <c r="F39" t="s">
        <v>1916</v>
      </c>
      <c r="I39" t="s">
        <v>1860</v>
      </c>
      <c r="J39" t="s">
        <v>1905</v>
      </c>
      <c r="L39">
        <v>2006</v>
      </c>
      <c r="O39" t="s">
        <v>1946</v>
      </c>
    </row>
    <row r="40" spans="1:15">
      <c r="A40" t="s">
        <v>1917</v>
      </c>
      <c r="B40" t="s">
        <v>72</v>
      </c>
      <c r="E40" t="s">
        <v>1920</v>
      </c>
      <c r="F40" t="s">
        <v>1921</v>
      </c>
      <c r="I40" t="s">
        <v>1922</v>
      </c>
      <c r="J40" t="s">
        <v>1923</v>
      </c>
      <c r="L40">
        <v>1999</v>
      </c>
      <c r="O40" t="s">
        <v>2634</v>
      </c>
    </row>
    <row r="41" spans="1:15">
      <c r="A41" t="s">
        <v>1924</v>
      </c>
      <c r="B41" t="s">
        <v>72</v>
      </c>
      <c r="D41" t="s">
        <v>1929</v>
      </c>
      <c r="E41" t="s">
        <v>1927</v>
      </c>
      <c r="F41" t="s">
        <v>1928</v>
      </c>
      <c r="I41" t="s">
        <v>1860</v>
      </c>
      <c r="J41" t="s">
        <v>1930</v>
      </c>
      <c r="L41">
        <v>2005</v>
      </c>
    </row>
    <row r="42" spans="1:15">
      <c r="A42" t="s">
        <v>1931</v>
      </c>
      <c r="B42" t="s">
        <v>72</v>
      </c>
      <c r="D42" t="s">
        <v>1937</v>
      </c>
      <c r="E42" t="s">
        <v>1934</v>
      </c>
      <c r="F42" t="s">
        <v>1935</v>
      </c>
      <c r="I42" t="s">
        <v>1936</v>
      </c>
      <c r="J42" t="s">
        <v>1938</v>
      </c>
      <c r="L42">
        <v>2011</v>
      </c>
    </row>
    <row r="43" spans="1:15">
      <c r="A43" t="s">
        <v>1939</v>
      </c>
      <c r="B43" t="s">
        <v>72</v>
      </c>
      <c r="D43" t="s">
        <v>1943</v>
      </c>
      <c r="E43" t="s">
        <v>1941</v>
      </c>
      <c r="F43" t="s">
        <v>665</v>
      </c>
      <c r="I43" t="s">
        <v>1942</v>
      </c>
      <c r="J43" t="s">
        <v>1944</v>
      </c>
      <c r="L43">
        <v>2008</v>
      </c>
    </row>
    <row r="44" spans="1:15">
      <c r="A44" t="s">
        <v>1945</v>
      </c>
      <c r="B44" t="s">
        <v>72</v>
      </c>
      <c r="E44" t="s">
        <v>2633</v>
      </c>
      <c r="F44" t="s">
        <v>1947</v>
      </c>
      <c r="I44" t="s">
        <v>1948</v>
      </c>
      <c r="J44" t="s">
        <v>1949</v>
      </c>
      <c r="L44">
        <v>2005</v>
      </c>
    </row>
    <row r="45" spans="1:15">
      <c r="A45" t="s">
        <v>1950</v>
      </c>
      <c r="B45" t="s">
        <v>72</v>
      </c>
      <c r="D45" t="s">
        <v>1953</v>
      </c>
      <c r="E45" t="s">
        <v>1951</v>
      </c>
      <c r="F45" t="s">
        <v>1952</v>
      </c>
      <c r="I45" t="s">
        <v>1860</v>
      </c>
      <c r="J45" t="s">
        <v>1954</v>
      </c>
      <c r="L45">
        <v>2003</v>
      </c>
    </row>
    <row r="46" spans="1:15">
      <c r="A46" t="s">
        <v>2615</v>
      </c>
      <c r="B46" t="s">
        <v>72</v>
      </c>
      <c r="D46" t="s">
        <v>1964</v>
      </c>
      <c r="E46" t="s">
        <v>2616</v>
      </c>
      <c r="F46" t="s">
        <v>1965</v>
      </c>
    </row>
    <row r="47" spans="1:15">
      <c r="A47" t="s">
        <v>1966</v>
      </c>
      <c r="B47" t="s">
        <v>72</v>
      </c>
      <c r="E47" t="s">
        <v>2617</v>
      </c>
      <c r="F47" t="s">
        <v>261</v>
      </c>
    </row>
    <row r="48" spans="1:15">
      <c r="A48" t="s">
        <v>1967</v>
      </c>
      <c r="B48" t="s">
        <v>72</v>
      </c>
      <c r="E48" t="s">
        <v>2618</v>
      </c>
      <c r="F48" t="s">
        <v>1968</v>
      </c>
    </row>
    <row r="49" spans="1:15">
      <c r="A49" t="s">
        <v>2619</v>
      </c>
      <c r="B49" t="s">
        <v>72</v>
      </c>
      <c r="D49" t="s">
        <v>1969</v>
      </c>
      <c r="E49" t="s">
        <v>2618</v>
      </c>
      <c r="F49" t="s">
        <v>1363</v>
      </c>
    </row>
    <row r="50" spans="1:15">
      <c r="A50" t="s">
        <v>2620</v>
      </c>
      <c r="B50" t="s">
        <v>72</v>
      </c>
      <c r="D50" t="s">
        <v>1970</v>
      </c>
      <c r="E50" t="s">
        <v>1971</v>
      </c>
      <c r="F50" t="s">
        <v>1961</v>
      </c>
    </row>
    <row r="51" spans="1:15">
      <c r="A51" t="s">
        <v>1972</v>
      </c>
      <c r="B51" t="s">
        <v>72</v>
      </c>
      <c r="E51" t="s">
        <v>1973</v>
      </c>
      <c r="F51" t="s">
        <v>1974</v>
      </c>
    </row>
    <row r="52" spans="1:15">
      <c r="A52" t="s">
        <v>1975</v>
      </c>
      <c r="B52" t="s">
        <v>72</v>
      </c>
      <c r="D52" t="s">
        <v>1976</v>
      </c>
      <c r="E52" t="s">
        <v>2621</v>
      </c>
      <c r="F52" t="s">
        <v>1977</v>
      </c>
    </row>
    <row r="53" spans="1:15">
      <c r="A53" t="s">
        <v>1978</v>
      </c>
      <c r="B53" t="s">
        <v>72</v>
      </c>
      <c r="D53" t="s">
        <v>1979</v>
      </c>
      <c r="E53" t="s">
        <v>2635</v>
      </c>
      <c r="F53" t="s">
        <v>1980</v>
      </c>
    </row>
    <row r="54" spans="1:15">
      <c r="A54" t="s">
        <v>2622</v>
      </c>
      <c r="B54" t="s">
        <v>72</v>
      </c>
      <c r="D54" t="s">
        <v>1981</v>
      </c>
      <c r="E54" t="s">
        <v>2623</v>
      </c>
      <c r="F54" t="s">
        <v>1935</v>
      </c>
    </row>
    <row r="55" spans="1:15">
      <c r="A55" t="s">
        <v>1988</v>
      </c>
      <c r="B55" t="s">
        <v>72</v>
      </c>
      <c r="E55" t="s">
        <v>2626</v>
      </c>
      <c r="F55" t="s">
        <v>1989</v>
      </c>
    </row>
    <row r="56" spans="1:15">
      <c r="A56" s="19" t="s">
        <v>1990</v>
      </c>
      <c r="B56" s="19" t="s">
        <v>72</v>
      </c>
      <c r="C56" s="19"/>
      <c r="D56" s="19" t="s">
        <v>1991</v>
      </c>
      <c r="E56" s="19" t="s">
        <v>1992</v>
      </c>
      <c r="F56" s="19" t="s">
        <v>1993</v>
      </c>
      <c r="G56" s="19"/>
      <c r="H56" s="19"/>
      <c r="I56" s="19"/>
      <c r="J56" s="19"/>
      <c r="K56" s="19"/>
      <c r="L56" s="19"/>
      <c r="M56" s="19"/>
      <c r="N56" s="19"/>
      <c r="O56" s="19"/>
    </row>
    <row r="57" spans="1:15">
      <c r="A57" t="s">
        <v>2636</v>
      </c>
      <c r="B57" s="3">
        <f>23/56</f>
        <v>0.4107142857142857</v>
      </c>
      <c r="F57" t="s">
        <v>1420</v>
      </c>
      <c r="G57" s="17">
        <f>MEDIAN(G2:G23)</f>
        <v>0.68</v>
      </c>
      <c r="H57" s="17">
        <f>MEDIAN(H2:H21)</f>
        <v>4</v>
      </c>
    </row>
    <row r="58" spans="1:15">
      <c r="F58" t="s">
        <v>2646</v>
      </c>
      <c r="G58" s="17">
        <f>AVERAGE(G2:G23)</f>
        <v>1.9470000000000001</v>
      </c>
      <c r="H58" s="17">
        <f>AVERAGE(H2:H23)</f>
        <v>4.0250000000000004</v>
      </c>
    </row>
  </sheetData>
  <sortState xmlns:xlrd2="http://schemas.microsoft.com/office/spreadsheetml/2017/richdata2" ref="A2:L57">
    <sortCondition descending="1" ref="B1:B57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4DE28-0441-FE45-A8B7-919A86B0FDD0}">
  <sheetPr>
    <tabColor theme="4" tint="0.79998168889431442"/>
  </sheetPr>
  <dimension ref="A1:K36"/>
  <sheetViews>
    <sheetView workbookViewId="0">
      <selection activeCell="G35" sqref="G35:H36"/>
    </sheetView>
  </sheetViews>
  <sheetFormatPr baseColWidth="10" defaultRowHeight="16"/>
  <sheetData>
    <row r="1" spans="1:11">
      <c r="A1" t="s">
        <v>0</v>
      </c>
      <c r="B1" t="s">
        <v>1422</v>
      </c>
      <c r="C1" t="s">
        <v>1620</v>
      </c>
      <c r="D1" t="s">
        <v>1616</v>
      </c>
      <c r="E1" t="s">
        <v>1143</v>
      </c>
      <c r="F1" t="s">
        <v>1621</v>
      </c>
      <c r="G1" t="s">
        <v>1401</v>
      </c>
      <c r="H1" t="s">
        <v>1609</v>
      </c>
      <c r="I1" t="s">
        <v>1400</v>
      </c>
    </row>
    <row r="2" spans="1:11">
      <c r="A2" t="s">
        <v>1668</v>
      </c>
      <c r="B2" t="s">
        <v>10</v>
      </c>
      <c r="C2" s="4">
        <v>36265</v>
      </c>
      <c r="E2" t="s">
        <v>1622</v>
      </c>
      <c r="F2" t="s">
        <v>1623</v>
      </c>
      <c r="G2" s="17">
        <v>0.14799999999999999</v>
      </c>
      <c r="H2" s="17"/>
      <c r="I2" s="17">
        <f>MAX(H2,G2)</f>
        <v>0.14799999999999999</v>
      </c>
      <c r="J2" t="s">
        <v>1702</v>
      </c>
      <c r="K2" t="s">
        <v>1704</v>
      </c>
    </row>
    <row r="3" spans="1:11">
      <c r="A3" t="s">
        <v>1703</v>
      </c>
      <c r="B3" t="s">
        <v>10</v>
      </c>
      <c r="C3" s="4">
        <v>37797</v>
      </c>
      <c r="E3" t="s">
        <v>1622</v>
      </c>
      <c r="F3" t="s">
        <v>1623</v>
      </c>
      <c r="G3" s="17">
        <v>0.44500000000000001</v>
      </c>
      <c r="H3" s="17"/>
      <c r="I3" s="17">
        <f t="shared" ref="I3:I10" si="0">MAX(H3,G3)</f>
        <v>0.44500000000000001</v>
      </c>
      <c r="K3" t="s">
        <v>1704</v>
      </c>
    </row>
    <row r="4" spans="1:11">
      <c r="A4" t="s">
        <v>1669</v>
      </c>
      <c r="B4" t="s">
        <v>10</v>
      </c>
      <c r="C4" s="4">
        <v>40686</v>
      </c>
      <c r="E4" t="s">
        <v>1624</v>
      </c>
      <c r="F4" t="s">
        <v>1625</v>
      </c>
      <c r="G4" s="17">
        <v>1.58</v>
      </c>
      <c r="H4" s="17"/>
      <c r="I4" s="17">
        <f t="shared" si="0"/>
        <v>1.58</v>
      </c>
      <c r="K4" t="s">
        <v>1626</v>
      </c>
    </row>
    <row r="5" spans="1:11">
      <c r="A5" t="s">
        <v>1670</v>
      </c>
      <c r="B5" t="s">
        <v>10</v>
      </c>
      <c r="C5" s="4">
        <v>40939</v>
      </c>
      <c r="E5" t="s">
        <v>1627</v>
      </c>
      <c r="F5" t="s">
        <v>1628</v>
      </c>
      <c r="G5" s="17">
        <v>1.01</v>
      </c>
      <c r="H5" s="17"/>
      <c r="I5" s="17">
        <f t="shared" si="0"/>
        <v>1.01</v>
      </c>
      <c r="K5" t="s">
        <v>1629</v>
      </c>
    </row>
    <row r="6" spans="1:11">
      <c r="A6" t="s">
        <v>1671</v>
      </c>
      <c r="B6" t="s">
        <v>10</v>
      </c>
      <c r="C6" s="4">
        <v>42187</v>
      </c>
      <c r="E6" t="s">
        <v>1630</v>
      </c>
      <c r="F6" t="s">
        <v>1631</v>
      </c>
      <c r="G6" s="17">
        <v>1.32</v>
      </c>
      <c r="H6" s="17"/>
      <c r="I6" s="17">
        <f t="shared" si="0"/>
        <v>1.32</v>
      </c>
      <c r="K6" t="s">
        <v>1632</v>
      </c>
    </row>
    <row r="7" spans="1:11">
      <c r="A7" t="s">
        <v>1672</v>
      </c>
      <c r="B7" t="s">
        <v>10</v>
      </c>
      <c r="C7" s="4">
        <v>43143</v>
      </c>
      <c r="E7" t="s">
        <v>1630</v>
      </c>
      <c r="F7" t="s">
        <v>1633</v>
      </c>
      <c r="G7" s="17">
        <v>1.41</v>
      </c>
      <c r="H7" s="17">
        <v>2</v>
      </c>
      <c r="I7" s="17">
        <f t="shared" si="0"/>
        <v>2</v>
      </c>
      <c r="K7" t="s">
        <v>1634</v>
      </c>
    </row>
    <row r="8" spans="1:11">
      <c r="A8" t="s">
        <v>1673</v>
      </c>
      <c r="B8" t="s">
        <v>10</v>
      </c>
      <c r="C8" s="4">
        <v>43759</v>
      </c>
      <c r="E8" t="s">
        <v>1630</v>
      </c>
      <c r="F8" t="s">
        <v>1635</v>
      </c>
      <c r="G8" s="17">
        <v>10.24</v>
      </c>
      <c r="H8" s="17">
        <v>7.6</v>
      </c>
      <c r="I8" s="17">
        <f t="shared" si="0"/>
        <v>10.24</v>
      </c>
      <c r="K8" t="s">
        <v>1636</v>
      </c>
    </row>
    <row r="9" spans="1:11">
      <c r="A9" t="s">
        <v>1674</v>
      </c>
      <c r="B9" t="s">
        <v>10</v>
      </c>
      <c r="C9" s="4">
        <v>45646</v>
      </c>
      <c r="E9" t="s">
        <v>1630</v>
      </c>
      <c r="F9" t="s">
        <v>1637</v>
      </c>
      <c r="G9" s="17"/>
      <c r="H9" s="17">
        <v>8.6999999999999993</v>
      </c>
      <c r="I9" s="17">
        <f t="shared" si="0"/>
        <v>8.6999999999999993</v>
      </c>
      <c r="K9" t="s">
        <v>1638</v>
      </c>
    </row>
    <row r="10" spans="1:11">
      <c r="A10" t="s">
        <v>1675</v>
      </c>
      <c r="B10" t="s">
        <v>10</v>
      </c>
      <c r="C10" s="4">
        <v>45687</v>
      </c>
      <c r="E10" t="s">
        <v>1639</v>
      </c>
      <c r="F10" t="s">
        <v>1640</v>
      </c>
      <c r="G10" s="17"/>
      <c r="H10" s="17">
        <v>4</v>
      </c>
      <c r="I10" s="17">
        <f t="shared" si="0"/>
        <v>4</v>
      </c>
      <c r="K10" t="s">
        <v>1638</v>
      </c>
    </row>
    <row r="11" spans="1:11">
      <c r="A11" t="s">
        <v>1676</v>
      </c>
      <c r="B11" t="s">
        <v>72</v>
      </c>
      <c r="D11" t="s">
        <v>72</v>
      </c>
      <c r="E11" t="s">
        <v>1641</v>
      </c>
      <c r="F11" t="s">
        <v>1642</v>
      </c>
    </row>
    <row r="12" spans="1:11">
      <c r="A12" t="s">
        <v>1677</v>
      </c>
      <c r="B12" t="s">
        <v>72</v>
      </c>
      <c r="D12" t="s">
        <v>72</v>
      </c>
      <c r="E12" t="s">
        <v>1643</v>
      </c>
      <c r="F12" t="s">
        <v>1644</v>
      </c>
    </row>
    <row r="13" spans="1:11">
      <c r="A13" t="s">
        <v>1678</v>
      </c>
      <c r="B13" t="s">
        <v>72</v>
      </c>
      <c r="D13" t="s">
        <v>72</v>
      </c>
      <c r="E13" t="s">
        <v>1645</v>
      </c>
      <c r="F13" t="s">
        <v>1646</v>
      </c>
    </row>
    <row r="14" spans="1:11">
      <c r="A14" t="s">
        <v>1679</v>
      </c>
      <c r="B14" t="s">
        <v>72</v>
      </c>
      <c r="D14" t="s">
        <v>10</v>
      </c>
      <c r="E14" t="s">
        <v>1647</v>
      </c>
      <c r="F14" t="s">
        <v>1648</v>
      </c>
    </row>
    <row r="15" spans="1:11">
      <c r="A15" t="s">
        <v>1680</v>
      </c>
      <c r="B15" t="s">
        <v>72</v>
      </c>
      <c r="D15" t="s">
        <v>72</v>
      </c>
      <c r="E15" t="s">
        <v>1649</v>
      </c>
      <c r="F15" t="s">
        <v>1650</v>
      </c>
    </row>
    <row r="16" spans="1:11">
      <c r="A16" t="s">
        <v>1681</v>
      </c>
      <c r="B16" t="s">
        <v>72</v>
      </c>
      <c r="D16" t="s">
        <v>72</v>
      </c>
      <c r="E16" t="s">
        <v>1651</v>
      </c>
      <c r="F16" t="s">
        <v>1652</v>
      </c>
    </row>
    <row r="17" spans="1:6">
      <c r="A17" t="s">
        <v>1682</v>
      </c>
      <c r="B17" t="s">
        <v>72</v>
      </c>
      <c r="D17" t="s">
        <v>72</v>
      </c>
      <c r="E17" t="s">
        <v>1653</v>
      </c>
      <c r="F17" t="s">
        <v>1654</v>
      </c>
    </row>
    <row r="18" spans="1:6">
      <c r="A18" t="s">
        <v>1683</v>
      </c>
      <c r="B18" t="s">
        <v>72</v>
      </c>
      <c r="D18" t="s">
        <v>72</v>
      </c>
      <c r="E18" t="s">
        <v>1684</v>
      </c>
      <c r="F18" t="s">
        <v>1655</v>
      </c>
    </row>
    <row r="19" spans="1:6">
      <c r="A19" t="s">
        <v>1685</v>
      </c>
      <c r="B19" t="s">
        <v>72</v>
      </c>
      <c r="D19" t="s">
        <v>72</v>
      </c>
      <c r="E19" t="s">
        <v>1684</v>
      </c>
      <c r="F19" t="s">
        <v>1656</v>
      </c>
    </row>
    <row r="20" spans="1:6">
      <c r="A20" t="s">
        <v>1686</v>
      </c>
      <c r="B20" t="s">
        <v>72</v>
      </c>
      <c r="D20" t="s">
        <v>72</v>
      </c>
      <c r="E20" t="s">
        <v>1657</v>
      </c>
      <c r="F20" t="s">
        <v>1654</v>
      </c>
    </row>
    <row r="21" spans="1:6">
      <c r="A21" t="s">
        <v>1687</v>
      </c>
      <c r="B21" t="s">
        <v>72</v>
      </c>
      <c r="D21" t="s">
        <v>72</v>
      </c>
      <c r="E21" t="s">
        <v>1657</v>
      </c>
      <c r="F21" t="s">
        <v>1654</v>
      </c>
    </row>
    <row r="22" spans="1:6">
      <c r="A22" t="s">
        <v>1688</v>
      </c>
      <c r="B22" t="s">
        <v>72</v>
      </c>
      <c r="D22" t="s">
        <v>72</v>
      </c>
      <c r="E22" t="s">
        <v>1658</v>
      </c>
      <c r="F22" t="s">
        <v>1654</v>
      </c>
    </row>
    <row r="23" spans="1:6">
      <c r="A23" t="s">
        <v>1689</v>
      </c>
      <c r="B23" t="s">
        <v>72</v>
      </c>
      <c r="D23" t="s">
        <v>72</v>
      </c>
      <c r="E23" t="s">
        <v>1659</v>
      </c>
      <c r="F23" t="s">
        <v>1654</v>
      </c>
    </row>
    <row r="24" spans="1:6">
      <c r="A24" t="s">
        <v>1690</v>
      </c>
      <c r="B24" t="s">
        <v>72</v>
      </c>
      <c r="D24" t="s">
        <v>10</v>
      </c>
      <c r="E24" t="s">
        <v>1660</v>
      </c>
      <c r="F24" t="s">
        <v>1650</v>
      </c>
    </row>
    <row r="25" spans="1:6">
      <c r="A25" t="s">
        <v>1691</v>
      </c>
      <c r="B25" t="s">
        <v>72</v>
      </c>
      <c r="D25" t="s">
        <v>72</v>
      </c>
      <c r="E25" t="s">
        <v>1660</v>
      </c>
      <c r="F25" t="s">
        <v>1650</v>
      </c>
    </row>
    <row r="26" spans="1:6">
      <c r="A26" t="s">
        <v>1692</v>
      </c>
      <c r="B26" t="s">
        <v>72</v>
      </c>
      <c r="D26" t="s">
        <v>72</v>
      </c>
      <c r="E26" t="s">
        <v>1693</v>
      </c>
      <c r="F26" t="s">
        <v>1650</v>
      </c>
    </row>
    <row r="27" spans="1:6">
      <c r="A27" t="s">
        <v>1694</v>
      </c>
      <c r="B27" t="s">
        <v>72</v>
      </c>
      <c r="D27" t="s">
        <v>72</v>
      </c>
      <c r="E27" t="s">
        <v>1630</v>
      </c>
      <c r="F27" t="s">
        <v>1661</v>
      </c>
    </row>
    <row r="28" spans="1:6">
      <c r="A28" t="s">
        <v>1695</v>
      </c>
      <c r="B28" t="s">
        <v>72</v>
      </c>
      <c r="D28" t="s">
        <v>72</v>
      </c>
      <c r="E28" t="s">
        <v>1630</v>
      </c>
      <c r="F28" t="s">
        <v>1661</v>
      </c>
    </row>
    <row r="29" spans="1:6">
      <c r="A29" t="s">
        <v>1696</v>
      </c>
      <c r="B29" t="s">
        <v>72</v>
      </c>
      <c r="D29" t="s">
        <v>72</v>
      </c>
      <c r="E29" t="s">
        <v>1630</v>
      </c>
      <c r="F29" t="s">
        <v>1661</v>
      </c>
    </row>
    <row r="30" spans="1:6">
      <c r="A30" t="s">
        <v>1697</v>
      </c>
      <c r="B30" t="s">
        <v>72</v>
      </c>
      <c r="D30" t="s">
        <v>72</v>
      </c>
      <c r="E30" t="s">
        <v>1662</v>
      </c>
      <c r="F30" t="s">
        <v>1663</v>
      </c>
    </row>
    <row r="31" spans="1:6">
      <c r="A31" t="s">
        <v>1698</v>
      </c>
      <c r="B31" t="s">
        <v>72</v>
      </c>
      <c r="D31" t="s">
        <v>72</v>
      </c>
      <c r="E31" t="s">
        <v>1639</v>
      </c>
      <c r="F31" t="s">
        <v>1664</v>
      </c>
    </row>
    <row r="32" spans="1:6">
      <c r="A32" t="s">
        <v>1699</v>
      </c>
      <c r="B32" t="s">
        <v>72</v>
      </c>
      <c r="D32" t="s">
        <v>72</v>
      </c>
      <c r="E32" t="s">
        <v>1639</v>
      </c>
      <c r="F32" t="s">
        <v>1664</v>
      </c>
    </row>
    <row r="33" spans="1:11">
      <c r="A33" t="s">
        <v>1700</v>
      </c>
      <c r="B33" t="s">
        <v>72</v>
      </c>
      <c r="D33" t="s">
        <v>10</v>
      </c>
      <c r="E33" t="s">
        <v>1665</v>
      </c>
      <c r="F33" t="s">
        <v>1666</v>
      </c>
    </row>
    <row r="34" spans="1:11">
      <c r="A34" s="19" t="s">
        <v>1701</v>
      </c>
      <c r="B34" s="19" t="s">
        <v>72</v>
      </c>
      <c r="C34" s="19"/>
      <c r="D34" s="19" t="s">
        <v>10</v>
      </c>
      <c r="E34" s="19" t="s">
        <v>1639</v>
      </c>
      <c r="F34" s="19" t="s">
        <v>1667</v>
      </c>
      <c r="G34" s="19"/>
      <c r="H34" s="19"/>
      <c r="I34" s="19"/>
      <c r="J34" s="19"/>
      <c r="K34" s="19"/>
    </row>
    <row r="35" spans="1:11">
      <c r="C35" t="s">
        <v>1617</v>
      </c>
      <c r="D35" s="18">
        <f>9/29</f>
        <v>0.31034482758620691</v>
      </c>
      <c r="F35" t="s">
        <v>1420</v>
      </c>
      <c r="G35" s="17">
        <f>MEDIAN(G2:G10)</f>
        <v>1.32</v>
      </c>
      <c r="H35" s="17">
        <f>MEDIAN(H2:H10)</f>
        <v>5.8</v>
      </c>
      <c r="I35" s="17">
        <f>MEDIAN(I2:I10)</f>
        <v>1.58</v>
      </c>
    </row>
    <row r="36" spans="1:11">
      <c r="D36">
        <f>COUNTIF(D11:D34,"N")+9</f>
        <v>29</v>
      </c>
      <c r="F36" t="s">
        <v>1421</v>
      </c>
      <c r="G36" s="17">
        <f>AVERAGE(G2:G10)</f>
        <v>2.3075714285714284</v>
      </c>
      <c r="H36" s="17">
        <f>AVERAGE(H2:H10)</f>
        <v>5.5749999999999993</v>
      </c>
      <c r="I36" s="17">
        <f>AVERAGE(I2:I10)</f>
        <v>3.2714444444444446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92707-3A02-AA4A-AFAB-B3514DE56CF7}">
  <sheetPr>
    <tabColor theme="4" tint="0.79998168889431442"/>
  </sheetPr>
  <dimension ref="A1:J12"/>
  <sheetViews>
    <sheetView workbookViewId="0">
      <selection activeCell="H13" sqref="H13"/>
    </sheetView>
  </sheetViews>
  <sheetFormatPr baseColWidth="10" defaultRowHeight="16"/>
  <sheetData>
    <row r="1" spans="1:10">
      <c r="A1" s="6" t="s">
        <v>1955</v>
      </c>
      <c r="B1" s="6" t="s">
        <v>2</v>
      </c>
      <c r="C1" s="6" t="s">
        <v>458</v>
      </c>
      <c r="D1" s="6" t="s">
        <v>2545</v>
      </c>
      <c r="E1" s="6" t="s">
        <v>2546</v>
      </c>
      <c r="F1" s="6" t="s">
        <v>5</v>
      </c>
      <c r="G1" s="6" t="s">
        <v>6</v>
      </c>
      <c r="H1" s="6" t="s">
        <v>2547</v>
      </c>
      <c r="I1" s="6" t="s">
        <v>2548</v>
      </c>
      <c r="J1" s="6" t="s">
        <v>1956</v>
      </c>
    </row>
    <row r="2" spans="1:10">
      <c r="A2" s="6" t="s">
        <v>2549</v>
      </c>
      <c r="B2" s="6" t="s">
        <v>10</v>
      </c>
      <c r="C2" s="6" t="s">
        <v>2550</v>
      </c>
      <c r="D2" s="6"/>
      <c r="E2" s="6" t="s">
        <v>2551</v>
      </c>
      <c r="F2" s="6" t="s">
        <v>2552</v>
      </c>
      <c r="G2" s="6" t="s">
        <v>2553</v>
      </c>
      <c r="H2" s="6" t="s">
        <v>2601</v>
      </c>
      <c r="I2" s="6">
        <v>542.5</v>
      </c>
      <c r="J2" s="6" t="s">
        <v>2554</v>
      </c>
    </row>
    <row r="3" spans="1:10">
      <c r="A3" s="6" t="s">
        <v>2555</v>
      </c>
      <c r="B3" s="6" t="s">
        <v>10</v>
      </c>
      <c r="C3" s="6" t="s">
        <v>2556</v>
      </c>
      <c r="D3" s="6"/>
      <c r="E3" s="6" t="s">
        <v>2557</v>
      </c>
      <c r="F3" s="6" t="s">
        <v>2558</v>
      </c>
      <c r="G3" s="6" t="s">
        <v>2559</v>
      </c>
      <c r="H3" s="6" t="s">
        <v>2602</v>
      </c>
      <c r="I3" s="6">
        <v>247</v>
      </c>
      <c r="J3" s="6" t="s">
        <v>2560</v>
      </c>
    </row>
    <row r="4" spans="1:10">
      <c r="A4" s="6" t="s">
        <v>2561</v>
      </c>
      <c r="B4" s="6" t="s">
        <v>10</v>
      </c>
      <c r="C4" s="6" t="s">
        <v>2562</v>
      </c>
      <c r="D4" s="6"/>
      <c r="E4" s="6" t="s">
        <v>2563</v>
      </c>
      <c r="F4" s="6" t="s">
        <v>2564</v>
      </c>
      <c r="G4" s="6" t="s">
        <v>2565</v>
      </c>
      <c r="H4" s="6" t="s">
        <v>2566</v>
      </c>
      <c r="I4" s="6">
        <v>1000</v>
      </c>
      <c r="J4" s="6" t="s">
        <v>2567</v>
      </c>
    </row>
    <row r="5" spans="1:10">
      <c r="A5" s="6" t="s">
        <v>2568</v>
      </c>
      <c r="B5" s="6" t="s">
        <v>10</v>
      </c>
      <c r="C5" s="6" t="s">
        <v>2569</v>
      </c>
      <c r="D5" s="6"/>
      <c r="E5" s="6" t="s">
        <v>2570</v>
      </c>
      <c r="F5" s="6" t="s">
        <v>2571</v>
      </c>
      <c r="G5" s="6" t="s">
        <v>2572</v>
      </c>
      <c r="H5" s="6" t="s">
        <v>2603</v>
      </c>
      <c r="I5" s="6">
        <v>1000</v>
      </c>
      <c r="J5" s="6" t="s">
        <v>2573</v>
      </c>
    </row>
    <row r="6" spans="1:10">
      <c r="A6" s="6" t="s">
        <v>2574</v>
      </c>
      <c r="B6" s="6" t="s">
        <v>72</v>
      </c>
      <c r="C6" s="6"/>
      <c r="D6" s="6" t="s">
        <v>2575</v>
      </c>
      <c r="E6" s="6" t="s">
        <v>2576</v>
      </c>
      <c r="F6" s="6" t="s">
        <v>2577</v>
      </c>
      <c r="G6" s="6" t="s">
        <v>2578</v>
      </c>
      <c r="H6" s="6"/>
      <c r="I6" s="6"/>
      <c r="J6" s="6"/>
    </row>
    <row r="7" spans="1:10">
      <c r="A7" s="6" t="s">
        <v>2579</v>
      </c>
      <c r="B7" s="6" t="s">
        <v>72</v>
      </c>
      <c r="C7" s="6"/>
      <c r="D7" s="6" t="s">
        <v>2580</v>
      </c>
      <c r="E7" s="6" t="s">
        <v>2581</v>
      </c>
      <c r="F7" s="6" t="s">
        <v>2582</v>
      </c>
      <c r="G7" s="6" t="s">
        <v>2583</v>
      </c>
      <c r="H7" s="6"/>
      <c r="I7" s="6"/>
      <c r="J7" s="6"/>
    </row>
    <row r="8" spans="1:10">
      <c r="A8" s="6" t="s">
        <v>2584</v>
      </c>
      <c r="B8" s="6" t="s">
        <v>72</v>
      </c>
      <c r="C8" s="6"/>
      <c r="D8" s="6" t="s">
        <v>2585</v>
      </c>
      <c r="E8" s="6" t="s">
        <v>2586</v>
      </c>
      <c r="F8" s="6" t="s">
        <v>2587</v>
      </c>
      <c r="G8" s="6" t="s">
        <v>2588</v>
      </c>
      <c r="H8" s="6"/>
      <c r="I8" s="6"/>
      <c r="J8" s="6"/>
    </row>
    <row r="9" spans="1:10">
      <c r="A9" s="6" t="s">
        <v>2589</v>
      </c>
      <c r="B9" s="6" t="s">
        <v>72</v>
      </c>
      <c r="C9" s="6"/>
      <c r="D9" s="6" t="s">
        <v>10</v>
      </c>
      <c r="E9" s="6" t="s">
        <v>2590</v>
      </c>
      <c r="F9" s="6" t="s">
        <v>2591</v>
      </c>
      <c r="G9" s="6" t="s">
        <v>2592</v>
      </c>
      <c r="H9" s="6"/>
      <c r="I9" s="6"/>
      <c r="J9" s="6"/>
    </row>
    <row r="10" spans="1:10">
      <c r="A10" t="s">
        <v>2593</v>
      </c>
      <c r="B10" t="s">
        <v>72</v>
      </c>
      <c r="D10" t="s">
        <v>10</v>
      </c>
      <c r="E10" t="s">
        <v>2594</v>
      </c>
      <c r="F10" t="s">
        <v>2595</v>
      </c>
      <c r="G10" t="s">
        <v>2596</v>
      </c>
    </row>
    <row r="11" spans="1:10">
      <c r="A11" s="19" t="s">
        <v>2597</v>
      </c>
      <c r="B11" s="19" t="s">
        <v>72</v>
      </c>
      <c r="C11" s="19"/>
      <c r="D11" s="19" t="s">
        <v>10</v>
      </c>
      <c r="E11" s="19" t="s">
        <v>2598</v>
      </c>
      <c r="F11" s="19" t="s">
        <v>2599</v>
      </c>
      <c r="G11" s="19" t="s">
        <v>2600</v>
      </c>
      <c r="H11" s="19"/>
      <c r="I11" s="19"/>
      <c r="J11" s="19"/>
    </row>
    <row r="12" spans="1:10">
      <c r="A12" s="6" t="s">
        <v>1617</v>
      </c>
      <c r="B12">
        <f>4/7</f>
        <v>0.5714285714285714</v>
      </c>
      <c r="H12">
        <v>98</v>
      </c>
      <c r="I12">
        <f>MEDIAN(I2:I5)</f>
        <v>771.25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F6AD7-DD0B-C647-9CC0-8B9C77285CF0}">
  <sheetPr>
    <tabColor theme="7" tint="0.79998168889431442"/>
  </sheetPr>
  <dimension ref="A1:H26"/>
  <sheetViews>
    <sheetView workbookViewId="0">
      <selection activeCell="G25" sqref="G25"/>
    </sheetView>
  </sheetViews>
  <sheetFormatPr baseColWidth="10" defaultRowHeight="16"/>
  <cols>
    <col min="1" max="8" width="12.5" customWidth="1"/>
  </cols>
  <sheetData>
    <row r="1" spans="1:8">
      <c r="A1" t="s">
        <v>0</v>
      </c>
      <c r="B1" t="s">
        <v>2</v>
      </c>
      <c r="C1" t="s">
        <v>727</v>
      </c>
      <c r="D1" t="s">
        <v>728</v>
      </c>
      <c r="E1" t="s">
        <v>5</v>
      </c>
      <c r="F1" t="s">
        <v>6</v>
      </c>
      <c r="G1" t="s">
        <v>1397</v>
      </c>
      <c r="H1" t="s">
        <v>729</v>
      </c>
    </row>
    <row r="2" spans="1:8">
      <c r="A2" t="s">
        <v>730</v>
      </c>
      <c r="B2" t="s">
        <v>10</v>
      </c>
      <c r="C2" s="4">
        <v>37754</v>
      </c>
      <c r="D2" t="s">
        <v>731</v>
      </c>
      <c r="E2" t="s">
        <v>732</v>
      </c>
      <c r="F2" t="s">
        <v>733</v>
      </c>
      <c r="G2" s="16">
        <v>1.25</v>
      </c>
      <c r="H2" t="s">
        <v>734</v>
      </c>
    </row>
    <row r="3" spans="1:8">
      <c r="A3" t="s">
        <v>735</v>
      </c>
      <c r="B3" t="s">
        <v>10</v>
      </c>
      <c r="C3" s="4">
        <v>42328</v>
      </c>
      <c r="D3" t="s">
        <v>736</v>
      </c>
      <c r="E3" t="s">
        <v>737</v>
      </c>
      <c r="F3" t="s">
        <v>738</v>
      </c>
      <c r="G3" s="17">
        <v>0.59</v>
      </c>
      <c r="H3" t="s">
        <v>739</v>
      </c>
    </row>
    <row r="4" spans="1:8">
      <c r="A4" t="s">
        <v>740</v>
      </c>
      <c r="B4" t="s">
        <v>10</v>
      </c>
      <c r="C4" s="4">
        <v>41779</v>
      </c>
      <c r="D4" t="s">
        <v>741</v>
      </c>
      <c r="E4" t="s">
        <v>742</v>
      </c>
      <c r="F4" t="s">
        <v>280</v>
      </c>
      <c r="G4" s="17">
        <v>6.17</v>
      </c>
      <c r="H4" t="s">
        <v>743</v>
      </c>
    </row>
    <row r="5" spans="1:8">
      <c r="A5" t="s">
        <v>744</v>
      </c>
      <c r="B5" t="s">
        <v>10</v>
      </c>
      <c r="C5" s="4">
        <v>37018</v>
      </c>
      <c r="E5" t="s">
        <v>745</v>
      </c>
      <c r="F5" t="s">
        <v>1529</v>
      </c>
      <c r="G5" s="17">
        <v>0.08</v>
      </c>
      <c r="H5" t="s">
        <v>746</v>
      </c>
    </row>
    <row r="6" spans="1:8">
      <c r="A6" t="s">
        <v>747</v>
      </c>
      <c r="B6" t="s">
        <v>72</v>
      </c>
      <c r="D6" t="s">
        <v>748</v>
      </c>
      <c r="E6" t="s">
        <v>749</v>
      </c>
      <c r="F6" t="s">
        <v>1530</v>
      </c>
    </row>
    <row r="7" spans="1:8">
      <c r="A7" t="s">
        <v>750</v>
      </c>
      <c r="B7" t="s">
        <v>72</v>
      </c>
      <c r="E7" t="s">
        <v>1531</v>
      </c>
      <c r="F7" t="s">
        <v>89</v>
      </c>
    </row>
    <row r="8" spans="1:8">
      <c r="A8" t="s">
        <v>1532</v>
      </c>
      <c r="B8" t="s">
        <v>72</v>
      </c>
      <c r="D8" t="s">
        <v>751</v>
      </c>
      <c r="E8" t="s">
        <v>1533</v>
      </c>
      <c r="F8" t="s">
        <v>752</v>
      </c>
    </row>
    <row r="9" spans="1:8">
      <c r="A9" t="s">
        <v>1534</v>
      </c>
      <c r="B9" t="s">
        <v>72</v>
      </c>
      <c r="D9" t="s">
        <v>753</v>
      </c>
      <c r="E9" t="s">
        <v>1535</v>
      </c>
      <c r="F9" t="s">
        <v>1536</v>
      </c>
    </row>
    <row r="10" spans="1:8">
      <c r="A10" t="s">
        <v>1537</v>
      </c>
      <c r="B10" t="s">
        <v>72</v>
      </c>
      <c r="D10" t="s">
        <v>754</v>
      </c>
      <c r="E10" t="s">
        <v>755</v>
      </c>
      <c r="F10" t="s">
        <v>756</v>
      </c>
    </row>
    <row r="11" spans="1:8">
      <c r="A11" t="s">
        <v>1538</v>
      </c>
      <c r="B11" t="s">
        <v>72</v>
      </c>
      <c r="D11" t="s">
        <v>757</v>
      </c>
      <c r="E11" t="s">
        <v>1539</v>
      </c>
      <c r="F11" t="s">
        <v>1540</v>
      </c>
    </row>
    <row r="12" spans="1:8">
      <c r="A12" t="s">
        <v>1541</v>
      </c>
      <c r="B12" t="s">
        <v>72</v>
      </c>
      <c r="D12" t="s">
        <v>758</v>
      </c>
      <c r="E12" t="s">
        <v>1542</v>
      </c>
      <c r="F12" t="s">
        <v>759</v>
      </c>
    </row>
    <row r="13" spans="1:8">
      <c r="A13" t="s">
        <v>1543</v>
      </c>
      <c r="B13" t="s">
        <v>72</v>
      </c>
      <c r="D13" t="s">
        <v>760</v>
      </c>
      <c r="E13" t="s">
        <v>1544</v>
      </c>
      <c r="F13" t="s">
        <v>1545</v>
      </c>
    </row>
    <row r="14" spans="1:8">
      <c r="A14" t="s">
        <v>761</v>
      </c>
      <c r="B14" t="s">
        <v>72</v>
      </c>
      <c r="D14" t="s">
        <v>762</v>
      </c>
      <c r="E14" t="s">
        <v>1546</v>
      </c>
      <c r="F14" t="s">
        <v>763</v>
      </c>
    </row>
    <row r="15" spans="1:8">
      <c r="A15" t="s">
        <v>764</v>
      </c>
      <c r="B15" t="s">
        <v>72</v>
      </c>
      <c r="E15" t="s">
        <v>765</v>
      </c>
      <c r="F15" t="s">
        <v>89</v>
      </c>
    </row>
    <row r="16" spans="1:8">
      <c r="A16" t="s">
        <v>766</v>
      </c>
      <c r="B16" t="s">
        <v>72</v>
      </c>
      <c r="E16" t="s">
        <v>1547</v>
      </c>
      <c r="F16" t="s">
        <v>89</v>
      </c>
    </row>
    <row r="17" spans="1:8">
      <c r="A17" t="s">
        <v>1548</v>
      </c>
      <c r="B17" t="s">
        <v>72</v>
      </c>
      <c r="D17" t="s">
        <v>767</v>
      </c>
      <c r="E17" t="s">
        <v>768</v>
      </c>
      <c r="F17" t="s">
        <v>769</v>
      </c>
    </row>
    <row r="18" spans="1:8">
      <c r="A18" t="s">
        <v>770</v>
      </c>
      <c r="B18" t="s">
        <v>72</v>
      </c>
      <c r="D18" t="s">
        <v>771</v>
      </c>
      <c r="E18" t="s">
        <v>772</v>
      </c>
      <c r="F18" t="s">
        <v>773</v>
      </c>
    </row>
    <row r="19" spans="1:8">
      <c r="A19" t="s">
        <v>774</v>
      </c>
      <c r="B19" t="s">
        <v>72</v>
      </c>
      <c r="E19" t="s">
        <v>775</v>
      </c>
      <c r="F19" t="s">
        <v>776</v>
      </c>
    </row>
    <row r="20" spans="1:8">
      <c r="A20" t="s">
        <v>777</v>
      </c>
      <c r="B20" t="s">
        <v>72</v>
      </c>
      <c r="E20" t="s">
        <v>775</v>
      </c>
      <c r="F20" t="s">
        <v>778</v>
      </c>
    </row>
    <row r="21" spans="1:8">
      <c r="A21" t="s">
        <v>1549</v>
      </c>
      <c r="B21" t="s">
        <v>72</v>
      </c>
      <c r="E21" t="s">
        <v>1550</v>
      </c>
      <c r="F21" t="s">
        <v>1551</v>
      </c>
    </row>
    <row r="22" spans="1:8">
      <c r="A22" t="s">
        <v>1552</v>
      </c>
      <c r="B22" t="s">
        <v>72</v>
      </c>
      <c r="E22" t="s">
        <v>1553</v>
      </c>
      <c r="F22" t="s">
        <v>779</v>
      </c>
    </row>
    <row r="23" spans="1:8">
      <c r="A23" t="s">
        <v>780</v>
      </c>
      <c r="B23" t="s">
        <v>72</v>
      </c>
      <c r="E23" t="s">
        <v>781</v>
      </c>
      <c r="F23" t="s">
        <v>782</v>
      </c>
    </row>
    <row r="24" spans="1:8">
      <c r="A24" s="19" t="s">
        <v>1554</v>
      </c>
      <c r="B24" s="19" t="s">
        <v>72</v>
      </c>
      <c r="C24" s="19"/>
      <c r="D24" s="19" t="s">
        <v>783</v>
      </c>
      <c r="E24" s="19" t="s">
        <v>1555</v>
      </c>
      <c r="F24" s="19" t="s">
        <v>784</v>
      </c>
      <c r="G24" s="19"/>
      <c r="H24" s="19"/>
    </row>
    <row r="25" spans="1:8">
      <c r="B25" s="3">
        <f>4/23</f>
        <v>0.17391304347826086</v>
      </c>
      <c r="F25" t="s">
        <v>1420</v>
      </c>
      <c r="G25" s="17">
        <f>MEDIAN(G2:G5)</f>
        <v>0.91999999999999993</v>
      </c>
    </row>
    <row r="26" spans="1:8">
      <c r="F26" t="s">
        <v>1421</v>
      </c>
      <c r="G26" s="16">
        <f>AVERAGE(G2:G5)</f>
        <v>2.0225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33C64-E24C-F841-91F5-9F57F06841C2}">
  <sheetPr>
    <tabColor theme="4" tint="0.79998168889431442"/>
  </sheetPr>
  <dimension ref="A1:O5"/>
  <sheetViews>
    <sheetView workbookViewId="0">
      <selection activeCell="G2" sqref="G2"/>
    </sheetView>
  </sheetViews>
  <sheetFormatPr baseColWidth="10" defaultRowHeight="16"/>
  <sheetData>
    <row r="1" spans="1:15">
      <c r="A1" t="s">
        <v>1096</v>
      </c>
      <c r="B1" t="s">
        <v>1097</v>
      </c>
      <c r="C1" t="s">
        <v>1098</v>
      </c>
      <c r="D1" t="s">
        <v>2</v>
      </c>
      <c r="E1" t="s">
        <v>1099</v>
      </c>
      <c r="F1" t="s">
        <v>1100</v>
      </c>
      <c r="G1" t="s">
        <v>5</v>
      </c>
      <c r="H1" t="s">
        <v>6</v>
      </c>
      <c r="I1" t="s">
        <v>1101</v>
      </c>
      <c r="J1" t="s">
        <v>1102</v>
      </c>
      <c r="K1" t="s">
        <v>1556</v>
      </c>
      <c r="L1" t="s">
        <v>1594</v>
      </c>
      <c r="M1" t="s">
        <v>1595</v>
      </c>
      <c r="N1" t="s">
        <v>1596</v>
      </c>
      <c r="O1" t="s">
        <v>1597</v>
      </c>
    </row>
    <row r="2" spans="1:15">
      <c r="A2" t="s">
        <v>1103</v>
      </c>
      <c r="B2" t="s">
        <v>1104</v>
      </c>
      <c r="D2" t="s">
        <v>72</v>
      </c>
      <c r="F2" t="s">
        <v>1105</v>
      </c>
      <c r="G2" t="s">
        <v>1106</v>
      </c>
      <c r="H2" t="s">
        <v>1557</v>
      </c>
      <c r="K2" t="s">
        <v>1107</v>
      </c>
      <c r="L2" t="s">
        <v>1108</v>
      </c>
      <c r="M2" t="s">
        <v>1109</v>
      </c>
      <c r="N2" t="s">
        <v>1110</v>
      </c>
      <c r="O2" t="s">
        <v>1111</v>
      </c>
    </row>
    <row r="3" spans="1:15">
      <c r="B3" t="s">
        <v>1112</v>
      </c>
      <c r="D3" t="s">
        <v>72</v>
      </c>
      <c r="F3" t="s">
        <v>1113</v>
      </c>
      <c r="G3" t="s">
        <v>1558</v>
      </c>
      <c r="H3" t="s">
        <v>1559</v>
      </c>
      <c r="K3" t="s">
        <v>1114</v>
      </c>
      <c r="L3" t="s">
        <v>1115</v>
      </c>
      <c r="M3" t="s">
        <v>1116</v>
      </c>
      <c r="N3" t="s">
        <v>1117</v>
      </c>
      <c r="O3" t="s">
        <v>1118</v>
      </c>
    </row>
    <row r="4" spans="1:15">
      <c r="A4" t="s">
        <v>1119</v>
      </c>
      <c r="B4" t="s">
        <v>1120</v>
      </c>
      <c r="C4" t="s">
        <v>1121</v>
      </c>
      <c r="D4" t="s">
        <v>72</v>
      </c>
      <c r="F4" t="s">
        <v>1122</v>
      </c>
      <c r="G4" t="s">
        <v>1123</v>
      </c>
      <c r="H4" t="s">
        <v>1560</v>
      </c>
      <c r="K4" t="s">
        <v>1124</v>
      </c>
      <c r="L4" t="s">
        <v>1125</v>
      </c>
      <c r="M4" t="s">
        <v>1126</v>
      </c>
      <c r="N4" t="s">
        <v>1127</v>
      </c>
      <c r="O4" t="s">
        <v>1128</v>
      </c>
    </row>
    <row r="5" spans="1:15">
      <c r="B5" t="s">
        <v>1129</v>
      </c>
      <c r="D5" t="s">
        <v>72</v>
      </c>
      <c r="F5" t="s">
        <v>1130</v>
      </c>
      <c r="G5" t="s">
        <v>1561</v>
      </c>
      <c r="H5" t="s">
        <v>1562</v>
      </c>
      <c r="K5" t="s">
        <v>1114</v>
      </c>
      <c r="L5" t="s">
        <v>1131</v>
      </c>
      <c r="M5" t="s">
        <v>1132</v>
      </c>
      <c r="N5" t="s">
        <v>1133</v>
      </c>
      <c r="O5" t="s">
        <v>1134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74CD7-780E-6D41-A38A-B4602A6C1187}">
  <sheetPr>
    <tabColor theme="4" tint="0.79998168889431442"/>
  </sheetPr>
  <dimension ref="A1:N8"/>
  <sheetViews>
    <sheetView workbookViewId="0">
      <selection activeCell="G8" sqref="G8"/>
    </sheetView>
  </sheetViews>
  <sheetFormatPr baseColWidth="10" defaultRowHeight="16"/>
  <sheetData>
    <row r="1" spans="1:14">
      <c r="A1" t="s">
        <v>0</v>
      </c>
      <c r="B1" t="s">
        <v>1136</v>
      </c>
      <c r="C1" t="s">
        <v>1137</v>
      </c>
      <c r="D1" t="s">
        <v>1138</v>
      </c>
      <c r="E1" t="s">
        <v>1139</v>
      </c>
      <c r="F1" t="s">
        <v>1140</v>
      </c>
      <c r="G1" t="s">
        <v>1141</v>
      </c>
      <c r="H1" t="s">
        <v>1142</v>
      </c>
      <c r="I1" t="s">
        <v>1143</v>
      </c>
      <c r="J1" t="s">
        <v>1144</v>
      </c>
      <c r="K1" t="s">
        <v>1145</v>
      </c>
      <c r="L1" t="s">
        <v>1146</v>
      </c>
      <c r="M1" t="s">
        <v>1147</v>
      </c>
      <c r="N1" t="s">
        <v>1148</v>
      </c>
    </row>
    <row r="2" spans="1:14">
      <c r="A2" t="s">
        <v>1149</v>
      </c>
      <c r="B2" t="s">
        <v>1150</v>
      </c>
      <c r="C2" t="s">
        <v>1151</v>
      </c>
      <c r="D2" t="s">
        <v>1152</v>
      </c>
      <c r="E2" t="s">
        <v>72</v>
      </c>
      <c r="G2" t="s">
        <v>1153</v>
      </c>
      <c r="H2" t="s">
        <v>1154</v>
      </c>
      <c r="I2" t="s">
        <v>1155</v>
      </c>
      <c r="J2" t="s">
        <v>1156</v>
      </c>
      <c r="M2" t="s">
        <v>1157</v>
      </c>
      <c r="N2" t="s">
        <v>1158</v>
      </c>
    </row>
    <row r="3" spans="1:14">
      <c r="A3" t="s">
        <v>1159</v>
      </c>
      <c r="C3" t="s">
        <v>1151</v>
      </c>
      <c r="D3" t="s">
        <v>1160</v>
      </c>
      <c r="E3" t="s">
        <v>72</v>
      </c>
      <c r="G3" t="s">
        <v>1161</v>
      </c>
      <c r="H3" t="s">
        <v>1162</v>
      </c>
      <c r="I3" t="s">
        <v>1163</v>
      </c>
      <c r="J3" t="s">
        <v>1164</v>
      </c>
      <c r="M3" t="s">
        <v>1165</v>
      </c>
      <c r="N3" t="s">
        <v>1166</v>
      </c>
    </row>
    <row r="4" spans="1:14">
      <c r="A4" t="s">
        <v>1167</v>
      </c>
      <c r="C4" t="s">
        <v>1151</v>
      </c>
      <c r="D4" t="s">
        <v>1160</v>
      </c>
      <c r="E4" t="s">
        <v>72</v>
      </c>
      <c r="G4" t="s">
        <v>1168</v>
      </c>
      <c r="H4" t="s">
        <v>1169</v>
      </c>
      <c r="I4" t="s">
        <v>1170</v>
      </c>
      <c r="J4" t="s">
        <v>1171</v>
      </c>
      <c r="M4" t="s">
        <v>1165</v>
      </c>
      <c r="N4" t="s">
        <v>1172</v>
      </c>
    </row>
    <row r="5" spans="1:14">
      <c r="A5" t="s">
        <v>1104</v>
      </c>
      <c r="B5" t="s">
        <v>1173</v>
      </c>
      <c r="C5" t="s">
        <v>1174</v>
      </c>
      <c r="D5" t="s">
        <v>1175</v>
      </c>
      <c r="E5" t="s">
        <v>72</v>
      </c>
      <c r="G5" t="s">
        <v>1176</v>
      </c>
      <c r="H5" t="s">
        <v>1177</v>
      </c>
      <c r="I5" t="s">
        <v>1178</v>
      </c>
      <c r="J5" t="s">
        <v>1179</v>
      </c>
      <c r="M5" t="s">
        <v>1180</v>
      </c>
      <c r="N5" t="s">
        <v>1181</v>
      </c>
    </row>
    <row r="6" spans="1:14">
      <c r="A6" t="s">
        <v>1112</v>
      </c>
      <c r="C6" t="s">
        <v>1182</v>
      </c>
      <c r="D6" t="s">
        <v>1114</v>
      </c>
      <c r="E6" t="s">
        <v>72</v>
      </c>
      <c r="G6" t="s">
        <v>1183</v>
      </c>
      <c r="H6" t="s">
        <v>1184</v>
      </c>
      <c r="I6" t="s">
        <v>1563</v>
      </c>
      <c r="J6" t="s">
        <v>1564</v>
      </c>
      <c r="M6" t="s">
        <v>1185</v>
      </c>
      <c r="N6" t="s">
        <v>1186</v>
      </c>
    </row>
    <row r="7" spans="1:14">
      <c r="A7" t="s">
        <v>1129</v>
      </c>
      <c r="C7" t="s">
        <v>1187</v>
      </c>
      <c r="D7" t="s">
        <v>1114</v>
      </c>
      <c r="E7" t="s">
        <v>72</v>
      </c>
      <c r="G7" t="s">
        <v>1565</v>
      </c>
      <c r="H7" t="s">
        <v>1184</v>
      </c>
      <c r="I7" t="s">
        <v>1566</v>
      </c>
      <c r="J7" t="s">
        <v>1188</v>
      </c>
      <c r="M7" t="s">
        <v>1189</v>
      </c>
      <c r="N7" t="s">
        <v>1190</v>
      </c>
    </row>
    <row r="8" spans="1:14">
      <c r="A8" t="s">
        <v>1121</v>
      </c>
      <c r="B8" t="s">
        <v>1191</v>
      </c>
      <c r="C8" t="s">
        <v>1192</v>
      </c>
      <c r="D8" t="s">
        <v>1193</v>
      </c>
      <c r="E8" t="s">
        <v>72</v>
      </c>
      <c r="G8" t="s">
        <v>1567</v>
      </c>
      <c r="H8" t="s">
        <v>1194</v>
      </c>
      <c r="I8" t="s">
        <v>1123</v>
      </c>
      <c r="J8" t="s">
        <v>1195</v>
      </c>
      <c r="M8" t="s">
        <v>1196</v>
      </c>
      <c r="N8" t="s">
        <v>1197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DF881-CAA6-FE4E-8ED6-2966F4F5E45C}">
  <sheetPr>
    <tabColor rgb="FFEEE9AC"/>
  </sheetPr>
  <dimension ref="A1:O45"/>
  <sheetViews>
    <sheetView topLeftCell="A2" workbookViewId="0">
      <selection activeCell="O24" sqref="O24"/>
    </sheetView>
  </sheetViews>
  <sheetFormatPr baseColWidth="10" defaultRowHeight="16"/>
  <sheetData>
    <row r="1" spans="1:15">
      <c r="A1" t="s">
        <v>0</v>
      </c>
      <c r="B1" t="s">
        <v>213</v>
      </c>
      <c r="C1" t="s">
        <v>214</v>
      </c>
      <c r="D1" t="s">
        <v>2</v>
      </c>
      <c r="E1" t="s">
        <v>215</v>
      </c>
      <c r="F1" t="s">
        <v>1616</v>
      </c>
      <c r="G1" t="s">
        <v>6</v>
      </c>
      <c r="H1" t="s">
        <v>5</v>
      </c>
      <c r="I1" t="s">
        <v>216</v>
      </c>
      <c r="J1" t="s">
        <v>217</v>
      </c>
      <c r="K1" t="s">
        <v>1378</v>
      </c>
      <c r="L1" t="s">
        <v>1400</v>
      </c>
      <c r="M1" t="s">
        <v>8</v>
      </c>
      <c r="N1" t="s">
        <v>1148</v>
      </c>
      <c r="O1" t="s">
        <v>1379</v>
      </c>
    </row>
    <row r="2" spans="1:15">
      <c r="A2" t="s">
        <v>218</v>
      </c>
      <c r="B2" t="s">
        <v>219</v>
      </c>
      <c r="C2" t="s">
        <v>220</v>
      </c>
      <c r="D2" t="s">
        <v>10</v>
      </c>
      <c r="E2" t="s">
        <v>221</v>
      </c>
      <c r="G2" t="s">
        <v>222</v>
      </c>
      <c r="H2" t="s">
        <v>223</v>
      </c>
      <c r="I2" t="s">
        <v>224</v>
      </c>
      <c r="J2" s="17">
        <v>0.5</v>
      </c>
      <c r="K2" s="17">
        <v>1</v>
      </c>
      <c r="L2" s="17">
        <f>MAX(K2,J2)</f>
        <v>1</v>
      </c>
      <c r="M2" t="s">
        <v>225</v>
      </c>
      <c r="N2" t="s">
        <v>1380</v>
      </c>
      <c r="O2" t="s">
        <v>1381</v>
      </c>
    </row>
    <row r="3" spans="1:15">
      <c r="A3" t="s">
        <v>226</v>
      </c>
      <c r="B3" t="s">
        <v>227</v>
      </c>
      <c r="C3" t="s">
        <v>228</v>
      </c>
      <c r="D3" t="s">
        <v>10</v>
      </c>
      <c r="E3" t="s">
        <v>229</v>
      </c>
      <c r="G3" t="s">
        <v>230</v>
      </c>
      <c r="H3" t="s">
        <v>231</v>
      </c>
      <c r="I3" t="s">
        <v>232</v>
      </c>
      <c r="J3" s="17">
        <v>0.4</v>
      </c>
      <c r="K3" s="17">
        <v>1.425</v>
      </c>
      <c r="L3" s="17">
        <f t="shared" ref="L3:L4" si="0">MAX(K3,J3)</f>
        <v>1.425</v>
      </c>
      <c r="M3" t="s">
        <v>233</v>
      </c>
      <c r="N3" t="s">
        <v>1382</v>
      </c>
      <c r="O3" t="s">
        <v>1383</v>
      </c>
    </row>
    <row r="4" spans="1:15">
      <c r="A4" t="s">
        <v>234</v>
      </c>
      <c r="B4" t="s">
        <v>235</v>
      </c>
      <c r="C4" t="s">
        <v>236</v>
      </c>
      <c r="D4" t="s">
        <v>10</v>
      </c>
      <c r="E4" t="s">
        <v>237</v>
      </c>
      <c r="G4" t="s">
        <v>238</v>
      </c>
      <c r="H4" t="s">
        <v>239</v>
      </c>
      <c r="I4" t="s">
        <v>240</v>
      </c>
      <c r="J4" s="17">
        <v>0.08</v>
      </c>
      <c r="K4" s="17">
        <v>0.90300000000000002</v>
      </c>
      <c r="L4" s="17">
        <f t="shared" si="0"/>
        <v>0.90300000000000002</v>
      </c>
      <c r="M4" t="s">
        <v>241</v>
      </c>
      <c r="N4" t="s">
        <v>1384</v>
      </c>
      <c r="O4" t="s">
        <v>1385</v>
      </c>
    </row>
    <row r="5" spans="1:15">
      <c r="A5" t="s">
        <v>242</v>
      </c>
      <c r="B5" t="s">
        <v>243</v>
      </c>
      <c r="C5" t="s">
        <v>244</v>
      </c>
      <c r="D5" t="s">
        <v>10</v>
      </c>
      <c r="E5" t="s">
        <v>245</v>
      </c>
      <c r="G5" t="s">
        <v>246</v>
      </c>
      <c r="H5" t="s">
        <v>247</v>
      </c>
      <c r="I5" t="s">
        <v>248</v>
      </c>
      <c r="J5" t="s">
        <v>249</v>
      </c>
    </row>
    <row r="6" spans="1:15">
      <c r="A6" t="s">
        <v>250</v>
      </c>
      <c r="C6" t="s">
        <v>251</v>
      </c>
      <c r="D6" t="s">
        <v>72</v>
      </c>
      <c r="F6" t="s">
        <v>72</v>
      </c>
      <c r="G6" t="s">
        <v>252</v>
      </c>
      <c r="H6" t="s">
        <v>253</v>
      </c>
      <c r="I6" t="s">
        <v>254</v>
      </c>
    </row>
    <row r="7" spans="1:15">
      <c r="A7" t="s">
        <v>255</v>
      </c>
      <c r="C7" t="s">
        <v>251</v>
      </c>
      <c r="D7" t="s">
        <v>72</v>
      </c>
      <c r="F7" t="s">
        <v>72</v>
      </c>
      <c r="G7" t="s">
        <v>256</v>
      </c>
      <c r="H7" t="s">
        <v>257</v>
      </c>
      <c r="I7" t="s">
        <v>258</v>
      </c>
    </row>
    <row r="8" spans="1:15">
      <c r="A8" t="s">
        <v>259</v>
      </c>
      <c r="C8" t="s">
        <v>260</v>
      </c>
      <c r="D8" t="s">
        <v>72</v>
      </c>
      <c r="F8" t="s">
        <v>72</v>
      </c>
      <c r="G8" t="s">
        <v>261</v>
      </c>
      <c r="H8" t="s">
        <v>262</v>
      </c>
      <c r="I8" t="s">
        <v>263</v>
      </c>
    </row>
    <row r="9" spans="1:15">
      <c r="A9" t="s">
        <v>264</v>
      </c>
      <c r="C9" t="s">
        <v>265</v>
      </c>
      <c r="D9" t="s">
        <v>72</v>
      </c>
      <c r="F9" t="s">
        <v>72</v>
      </c>
      <c r="G9" t="s">
        <v>266</v>
      </c>
      <c r="H9" t="s">
        <v>267</v>
      </c>
      <c r="I9" t="s">
        <v>268</v>
      </c>
    </row>
    <row r="10" spans="1:15">
      <c r="A10" t="s">
        <v>269</v>
      </c>
      <c r="C10" t="s">
        <v>270</v>
      </c>
      <c r="D10" t="s">
        <v>72</v>
      </c>
      <c r="F10" t="s">
        <v>72</v>
      </c>
      <c r="G10" t="s">
        <v>271</v>
      </c>
      <c r="H10" t="s">
        <v>1598</v>
      </c>
      <c r="I10" t="s">
        <v>272</v>
      </c>
    </row>
    <row r="11" spans="1:15">
      <c r="A11" t="s">
        <v>273</v>
      </c>
      <c r="C11" t="s">
        <v>274</v>
      </c>
      <c r="D11" t="s">
        <v>72</v>
      </c>
      <c r="F11" t="s">
        <v>72</v>
      </c>
      <c r="G11" t="s">
        <v>275</v>
      </c>
      <c r="H11" t="s">
        <v>276</v>
      </c>
      <c r="I11" t="s">
        <v>277</v>
      </c>
    </row>
    <row r="12" spans="1:15">
      <c r="A12" t="s">
        <v>278</v>
      </c>
      <c r="C12" t="s">
        <v>279</v>
      </c>
      <c r="D12" t="s">
        <v>72</v>
      </c>
      <c r="F12" t="s">
        <v>10</v>
      </c>
      <c r="G12" t="s">
        <v>280</v>
      </c>
      <c r="H12" t="s">
        <v>281</v>
      </c>
      <c r="I12" t="s">
        <v>282</v>
      </c>
    </row>
    <row r="13" spans="1:15">
      <c r="A13" t="s">
        <v>283</v>
      </c>
      <c r="C13" t="s">
        <v>284</v>
      </c>
      <c r="D13" t="s">
        <v>72</v>
      </c>
      <c r="F13" t="s">
        <v>10</v>
      </c>
      <c r="G13" t="s">
        <v>285</v>
      </c>
      <c r="H13" t="s">
        <v>286</v>
      </c>
      <c r="I13" t="s">
        <v>287</v>
      </c>
    </row>
    <row r="14" spans="1:15">
      <c r="A14" t="s">
        <v>288</v>
      </c>
      <c r="C14" t="s">
        <v>289</v>
      </c>
      <c r="D14" t="s">
        <v>290</v>
      </c>
      <c r="F14" t="s">
        <v>72</v>
      </c>
      <c r="G14" t="s">
        <v>291</v>
      </c>
      <c r="H14" t="s">
        <v>292</v>
      </c>
      <c r="I14" t="s">
        <v>293</v>
      </c>
    </row>
    <row r="15" spans="1:15">
      <c r="A15" t="s">
        <v>294</v>
      </c>
      <c r="C15" t="s">
        <v>295</v>
      </c>
      <c r="D15" t="s">
        <v>72</v>
      </c>
      <c r="F15" t="s">
        <v>10</v>
      </c>
      <c r="G15" t="s">
        <v>296</v>
      </c>
      <c r="H15" t="s">
        <v>297</v>
      </c>
      <c r="I15" t="s">
        <v>298</v>
      </c>
    </row>
    <row r="16" spans="1:15">
      <c r="A16" s="19" t="s">
        <v>299</v>
      </c>
      <c r="B16" s="19"/>
      <c r="C16" s="19" t="s">
        <v>300</v>
      </c>
      <c r="D16" s="19" t="s">
        <v>72</v>
      </c>
      <c r="E16" s="19"/>
      <c r="F16" s="19" t="s">
        <v>72</v>
      </c>
      <c r="G16" s="19" t="s">
        <v>301</v>
      </c>
      <c r="H16" s="19" t="s">
        <v>302</v>
      </c>
      <c r="I16" s="19" t="s">
        <v>303</v>
      </c>
      <c r="J16" s="19"/>
      <c r="K16" s="19"/>
      <c r="L16" s="19"/>
      <c r="M16" s="19"/>
      <c r="N16" s="19"/>
      <c r="O16" s="19"/>
    </row>
    <row r="17" spans="1:15">
      <c r="D17" s="3">
        <f>4/15</f>
        <v>0.26666666666666666</v>
      </c>
      <c r="F17" s="18">
        <v>0.33</v>
      </c>
      <c r="I17" t="s">
        <v>1420</v>
      </c>
      <c r="J17" s="17">
        <f>MEDIAN(J2:J5)</f>
        <v>0.4</v>
      </c>
      <c r="K17" s="17">
        <f t="shared" ref="K17:L17" si="1">MEDIAN(K2:K5)</f>
        <v>1</v>
      </c>
      <c r="L17" s="17">
        <f t="shared" si="1"/>
        <v>1</v>
      </c>
    </row>
    <row r="18" spans="1:15">
      <c r="F18">
        <f>COUNTIF(F6:F16,"N")+4</f>
        <v>12</v>
      </c>
      <c r="I18" t="s">
        <v>1421</v>
      </c>
      <c r="J18" s="17">
        <f>AVERAGE(J2:J4)</f>
        <v>0.32666666666666666</v>
      </c>
      <c r="K18" s="17">
        <f t="shared" ref="K18:L18" si="2">AVERAGE(K2:K4)</f>
        <v>1.1093333333333333</v>
      </c>
      <c r="L18" s="17">
        <f t="shared" si="2"/>
        <v>1.1093333333333333</v>
      </c>
    </row>
    <row r="24" spans="1:15">
      <c r="A24" t="s">
        <v>2540</v>
      </c>
      <c r="O24" t="s">
        <v>2544</v>
      </c>
    </row>
    <row r="26" spans="1:15">
      <c r="A26" s="1" t="s">
        <v>2444</v>
      </c>
      <c r="B26" s="1" t="s">
        <v>2445</v>
      </c>
      <c r="C26" s="1" t="s">
        <v>2446</v>
      </c>
      <c r="D26" s="1" t="s">
        <v>2447</v>
      </c>
      <c r="E26" s="1" t="s">
        <v>2448</v>
      </c>
      <c r="F26" s="1" t="s">
        <v>2449</v>
      </c>
      <c r="G26" s="1" t="s">
        <v>2450</v>
      </c>
    </row>
    <row r="27" spans="1:15">
      <c r="A27" s="14" t="s">
        <v>2451</v>
      </c>
      <c r="B27" t="s">
        <v>2452</v>
      </c>
      <c r="C27" t="s">
        <v>2453</v>
      </c>
      <c r="D27" s="41">
        <v>41974</v>
      </c>
      <c r="E27" t="s">
        <v>2454</v>
      </c>
      <c r="F27" s="1" t="s">
        <v>2455</v>
      </c>
      <c r="G27" t="s">
        <v>2456</v>
      </c>
    </row>
    <row r="28" spans="1:15">
      <c r="A28" s="14" t="s">
        <v>255</v>
      </c>
      <c r="B28" t="s">
        <v>2452</v>
      </c>
      <c r="C28" t="s">
        <v>2457</v>
      </c>
      <c r="D28" s="41">
        <v>42278</v>
      </c>
      <c r="E28" t="s">
        <v>2454</v>
      </c>
      <c r="F28" s="1" t="s">
        <v>2458</v>
      </c>
      <c r="G28" t="s">
        <v>2459</v>
      </c>
    </row>
    <row r="29" spans="1:15">
      <c r="A29" s="14" t="s">
        <v>2541</v>
      </c>
      <c r="B29" t="s">
        <v>2452</v>
      </c>
      <c r="C29" t="s">
        <v>2460</v>
      </c>
      <c r="D29" s="41">
        <v>42583</v>
      </c>
      <c r="E29" t="s">
        <v>2454</v>
      </c>
      <c r="F29" s="1" t="s">
        <v>2461</v>
      </c>
      <c r="G29" t="s">
        <v>2462</v>
      </c>
    </row>
    <row r="30" spans="1:15">
      <c r="A30" s="14" t="s">
        <v>259</v>
      </c>
      <c r="B30" t="s">
        <v>2463</v>
      </c>
      <c r="C30" t="s">
        <v>2464</v>
      </c>
      <c r="D30" s="41">
        <v>43252</v>
      </c>
      <c r="E30" t="s">
        <v>2454</v>
      </c>
      <c r="F30" s="1" t="s">
        <v>2465</v>
      </c>
      <c r="G30" t="s">
        <v>2466</v>
      </c>
    </row>
    <row r="31" spans="1:15">
      <c r="A31" s="14" t="s">
        <v>2467</v>
      </c>
      <c r="B31" t="s">
        <v>2468</v>
      </c>
      <c r="C31" t="s">
        <v>2469</v>
      </c>
      <c r="D31" s="41">
        <v>43282</v>
      </c>
      <c r="E31" t="s">
        <v>2454</v>
      </c>
      <c r="F31" s="1" t="s">
        <v>2470</v>
      </c>
      <c r="G31" t="s">
        <v>2471</v>
      </c>
    </row>
    <row r="32" spans="1:15">
      <c r="A32" s="14" t="s">
        <v>2472</v>
      </c>
      <c r="B32" t="s">
        <v>2468</v>
      </c>
      <c r="C32" t="s">
        <v>2473</v>
      </c>
      <c r="D32" s="41">
        <v>43435</v>
      </c>
      <c r="E32" t="s">
        <v>2454</v>
      </c>
      <c r="F32" s="1" t="s">
        <v>2470</v>
      </c>
      <c r="G32" t="s">
        <v>2474</v>
      </c>
    </row>
    <row r="33" spans="1:7">
      <c r="A33" s="14" t="s">
        <v>2475</v>
      </c>
      <c r="B33" t="s">
        <v>2476</v>
      </c>
      <c r="C33" t="s">
        <v>2477</v>
      </c>
      <c r="D33" s="41">
        <v>42461</v>
      </c>
      <c r="E33" t="s">
        <v>2478</v>
      </c>
      <c r="F33" s="42">
        <v>0</v>
      </c>
      <c r="G33" t="s">
        <v>2479</v>
      </c>
    </row>
    <row r="34" spans="1:7">
      <c r="A34" s="14" t="s">
        <v>226</v>
      </c>
      <c r="B34" t="s">
        <v>2480</v>
      </c>
      <c r="C34" t="s">
        <v>2481</v>
      </c>
      <c r="D34" s="41">
        <v>42767</v>
      </c>
      <c r="E34" t="s">
        <v>2482</v>
      </c>
      <c r="F34" s="1" t="s">
        <v>2483</v>
      </c>
      <c r="G34" t="s">
        <v>2484</v>
      </c>
    </row>
    <row r="35" spans="1:7">
      <c r="A35" s="14" t="s">
        <v>2485</v>
      </c>
      <c r="B35" t="s">
        <v>2486</v>
      </c>
      <c r="C35" t="s">
        <v>2487</v>
      </c>
      <c r="D35" s="41">
        <v>43282</v>
      </c>
      <c r="E35" t="s">
        <v>2454</v>
      </c>
      <c r="F35" s="1" t="s">
        <v>2488</v>
      </c>
      <c r="G35" s="1" t="s">
        <v>2489</v>
      </c>
    </row>
    <row r="36" spans="1:7">
      <c r="A36" s="14" t="s">
        <v>2490</v>
      </c>
      <c r="B36" t="s">
        <v>2486</v>
      </c>
      <c r="C36" t="s">
        <v>2491</v>
      </c>
      <c r="D36" s="41">
        <v>42705</v>
      </c>
      <c r="E36" t="s">
        <v>2492</v>
      </c>
      <c r="F36" s="1" t="s">
        <v>2493</v>
      </c>
      <c r="G36" t="s">
        <v>2494</v>
      </c>
    </row>
    <row r="37" spans="1:7">
      <c r="A37" s="14" t="s">
        <v>2495</v>
      </c>
      <c r="B37" t="s">
        <v>2486</v>
      </c>
      <c r="C37" t="s">
        <v>2496</v>
      </c>
      <c r="D37" t="s">
        <v>2497</v>
      </c>
      <c r="E37" t="s">
        <v>2498</v>
      </c>
      <c r="F37" s="1" t="s">
        <v>2499</v>
      </c>
      <c r="G37" t="s">
        <v>2500</v>
      </c>
    </row>
    <row r="38" spans="1:7">
      <c r="A38" s="14" t="s">
        <v>2542</v>
      </c>
      <c r="B38" t="s">
        <v>2486</v>
      </c>
      <c r="C38" t="s">
        <v>2501</v>
      </c>
      <c r="D38" s="41">
        <v>42979</v>
      </c>
      <c r="E38" t="s">
        <v>2502</v>
      </c>
      <c r="F38" s="1" t="s">
        <v>2503</v>
      </c>
      <c r="G38" t="s">
        <v>2504</v>
      </c>
    </row>
    <row r="39" spans="1:7">
      <c r="A39" s="14" t="s">
        <v>2543</v>
      </c>
      <c r="B39" t="s">
        <v>2486</v>
      </c>
      <c r="C39" t="s">
        <v>2505</v>
      </c>
      <c r="D39" s="41">
        <v>43101</v>
      </c>
      <c r="E39" t="s">
        <v>2506</v>
      </c>
      <c r="F39" s="1" t="s">
        <v>2503</v>
      </c>
      <c r="G39" t="s">
        <v>2507</v>
      </c>
    </row>
    <row r="40" spans="1:7">
      <c r="A40" s="14" t="s">
        <v>2508</v>
      </c>
      <c r="B40" t="s">
        <v>2509</v>
      </c>
      <c r="C40" t="s">
        <v>2510</v>
      </c>
      <c r="D40" s="41">
        <v>43070</v>
      </c>
      <c r="E40" t="s">
        <v>2511</v>
      </c>
      <c r="F40" s="1" t="s">
        <v>2512</v>
      </c>
      <c r="G40" t="s">
        <v>2513</v>
      </c>
    </row>
    <row r="41" spans="1:7">
      <c r="A41" s="14" t="s">
        <v>2514</v>
      </c>
      <c r="B41" t="s">
        <v>2515</v>
      </c>
      <c r="C41" t="s">
        <v>2516</v>
      </c>
      <c r="D41" t="s">
        <v>2517</v>
      </c>
      <c r="E41" t="s">
        <v>2518</v>
      </c>
      <c r="F41" s="1" t="s">
        <v>2519</v>
      </c>
      <c r="G41" t="s">
        <v>2520</v>
      </c>
    </row>
    <row r="42" spans="1:7">
      <c r="A42" s="14" t="s">
        <v>2521</v>
      </c>
      <c r="B42" t="s">
        <v>2522</v>
      </c>
      <c r="C42" t="s">
        <v>2516</v>
      </c>
      <c r="D42" t="s">
        <v>2523</v>
      </c>
      <c r="E42" t="s">
        <v>2524</v>
      </c>
      <c r="F42" s="1" t="s">
        <v>2208</v>
      </c>
      <c r="G42" t="s">
        <v>2525</v>
      </c>
    </row>
    <row r="43" spans="1:7">
      <c r="A43" s="14" t="s">
        <v>2526</v>
      </c>
      <c r="B43" t="s">
        <v>2527</v>
      </c>
      <c r="C43" t="s">
        <v>2528</v>
      </c>
      <c r="D43" s="41">
        <v>45536</v>
      </c>
      <c r="E43" t="s">
        <v>2454</v>
      </c>
      <c r="F43" s="1" t="s">
        <v>2529</v>
      </c>
      <c r="G43" t="s">
        <v>2530</v>
      </c>
    </row>
    <row r="44" spans="1:7">
      <c r="A44" s="14" t="s">
        <v>2531</v>
      </c>
      <c r="B44" t="s">
        <v>2532</v>
      </c>
      <c r="C44" t="s">
        <v>2533</v>
      </c>
      <c r="D44" s="41">
        <v>42705</v>
      </c>
      <c r="E44" t="s">
        <v>2454</v>
      </c>
      <c r="F44" s="1" t="s">
        <v>2208</v>
      </c>
      <c r="G44" t="s">
        <v>2534</v>
      </c>
    </row>
    <row r="45" spans="1:7">
      <c r="A45" s="14" t="s">
        <v>2535</v>
      </c>
      <c r="B45" t="s">
        <v>2536</v>
      </c>
      <c r="C45" t="s">
        <v>2537</v>
      </c>
      <c r="D45" s="41">
        <v>43556</v>
      </c>
      <c r="E45" t="s">
        <v>2538</v>
      </c>
      <c r="F45" s="1" t="s">
        <v>2470</v>
      </c>
      <c r="G45" t="s">
        <v>2539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D14A7-F14D-5D48-8689-221313B03777}">
  <sheetPr>
    <tabColor rgb="FFEEE9AC"/>
  </sheetPr>
  <dimension ref="A1:K15"/>
  <sheetViews>
    <sheetView workbookViewId="0">
      <selection activeCell="D15" sqref="D15"/>
    </sheetView>
  </sheetViews>
  <sheetFormatPr baseColWidth="10" defaultRowHeight="16"/>
  <sheetData>
    <row r="1" spans="1:11">
      <c r="A1" s="13" t="s">
        <v>916</v>
      </c>
      <c r="B1" s="13" t="s">
        <v>917</v>
      </c>
      <c r="C1" s="13" t="s">
        <v>918</v>
      </c>
      <c r="D1" s="13" t="s">
        <v>1616</v>
      </c>
      <c r="E1" s="13" t="s">
        <v>919</v>
      </c>
      <c r="F1" s="13" t="s">
        <v>5</v>
      </c>
      <c r="G1" s="13" t="s">
        <v>6</v>
      </c>
      <c r="H1" s="13" t="s">
        <v>460</v>
      </c>
      <c r="I1" s="13" t="s">
        <v>1023</v>
      </c>
      <c r="J1" s="13" t="s">
        <v>1019</v>
      </c>
      <c r="K1" s="13" t="s">
        <v>1020</v>
      </c>
    </row>
    <row r="2" spans="1:11">
      <c r="A2" t="s">
        <v>920</v>
      </c>
      <c r="B2" t="s">
        <v>10</v>
      </c>
      <c r="C2" t="s">
        <v>921</v>
      </c>
      <c r="E2" t="s">
        <v>922</v>
      </c>
      <c r="F2" t="s">
        <v>923</v>
      </c>
      <c r="G2" t="s">
        <v>924</v>
      </c>
      <c r="H2" t="s">
        <v>925</v>
      </c>
      <c r="I2" t="s">
        <v>1024</v>
      </c>
      <c r="J2" t="s">
        <v>1021</v>
      </c>
      <c r="K2" t="s">
        <v>1022</v>
      </c>
    </row>
    <row r="3" spans="1:11">
      <c r="A3" t="s">
        <v>926</v>
      </c>
      <c r="B3" t="s">
        <v>72</v>
      </c>
      <c r="D3" t="s">
        <v>10</v>
      </c>
      <c r="E3" t="s">
        <v>927</v>
      </c>
      <c r="F3" t="s">
        <v>928</v>
      </c>
      <c r="G3" t="s">
        <v>929</v>
      </c>
    </row>
    <row r="4" spans="1:11">
      <c r="A4" t="s">
        <v>930</v>
      </c>
      <c r="B4" t="s">
        <v>72</v>
      </c>
      <c r="D4" t="s">
        <v>10</v>
      </c>
      <c r="E4" t="s">
        <v>931</v>
      </c>
      <c r="F4" t="s">
        <v>932</v>
      </c>
      <c r="G4" t="s">
        <v>933</v>
      </c>
    </row>
    <row r="5" spans="1:11">
      <c r="A5" t="s">
        <v>934</v>
      </c>
      <c r="B5" t="s">
        <v>72</v>
      </c>
      <c r="D5" t="s">
        <v>10</v>
      </c>
      <c r="E5" t="s">
        <v>935</v>
      </c>
      <c r="F5" t="s">
        <v>936</v>
      </c>
      <c r="G5" t="s">
        <v>937</v>
      </c>
    </row>
    <row r="6" spans="1:11">
      <c r="A6" t="s">
        <v>938</v>
      </c>
      <c r="B6" t="s">
        <v>72</v>
      </c>
      <c r="D6" t="s">
        <v>72</v>
      </c>
      <c r="E6" t="s">
        <v>939</v>
      </c>
      <c r="F6" t="s">
        <v>940</v>
      </c>
      <c r="G6" t="s">
        <v>941</v>
      </c>
    </row>
    <row r="7" spans="1:11">
      <c r="A7" t="s">
        <v>942</v>
      </c>
      <c r="B7" t="s">
        <v>72</v>
      </c>
      <c r="D7" t="s">
        <v>10</v>
      </c>
      <c r="E7" t="s">
        <v>943</v>
      </c>
      <c r="F7" t="s">
        <v>944</v>
      </c>
      <c r="G7" t="s">
        <v>945</v>
      </c>
    </row>
    <row r="8" spans="1:11">
      <c r="A8" t="s">
        <v>946</v>
      </c>
      <c r="B8" t="s">
        <v>72</v>
      </c>
      <c r="D8" t="s">
        <v>72</v>
      </c>
      <c r="E8" t="s">
        <v>947</v>
      </c>
      <c r="F8" t="s">
        <v>948</v>
      </c>
      <c r="G8" t="s">
        <v>949</v>
      </c>
    </row>
    <row r="9" spans="1:11">
      <c r="A9" t="s">
        <v>950</v>
      </c>
      <c r="B9" t="s">
        <v>72</v>
      </c>
      <c r="D9" t="s">
        <v>72</v>
      </c>
      <c r="E9" t="s">
        <v>951</v>
      </c>
      <c r="F9" t="s">
        <v>952</v>
      </c>
      <c r="G9" t="s">
        <v>953</v>
      </c>
    </row>
    <row r="10" spans="1:11">
      <c r="A10" t="s">
        <v>954</v>
      </c>
      <c r="B10" t="s">
        <v>72</v>
      </c>
      <c r="D10" t="s">
        <v>72</v>
      </c>
      <c r="E10" t="s">
        <v>955</v>
      </c>
      <c r="F10" t="s">
        <v>956</v>
      </c>
      <c r="G10" t="s">
        <v>957</v>
      </c>
    </row>
    <row r="11" spans="1:11">
      <c r="A11" t="s">
        <v>958</v>
      </c>
      <c r="B11" t="s">
        <v>72</v>
      </c>
      <c r="D11" t="s">
        <v>72</v>
      </c>
      <c r="E11" t="s">
        <v>959</v>
      </c>
      <c r="F11" t="s">
        <v>960</v>
      </c>
      <c r="G11" t="s">
        <v>961</v>
      </c>
    </row>
    <row r="12" spans="1:11">
      <c r="A12" t="s">
        <v>962</v>
      </c>
      <c r="B12" t="s">
        <v>72</v>
      </c>
      <c r="D12" t="s">
        <v>72</v>
      </c>
      <c r="E12" t="s">
        <v>963</v>
      </c>
      <c r="F12" t="s">
        <v>964</v>
      </c>
      <c r="G12" t="s">
        <v>965</v>
      </c>
    </row>
    <row r="13" spans="1:11">
      <c r="A13" s="19" t="s">
        <v>966</v>
      </c>
      <c r="B13" s="19" t="s">
        <v>72</v>
      </c>
      <c r="C13" s="19"/>
      <c r="D13" t="s">
        <v>72</v>
      </c>
      <c r="E13" s="19" t="s">
        <v>967</v>
      </c>
      <c r="F13" s="19" t="s">
        <v>968</v>
      </c>
      <c r="G13" s="19" t="s">
        <v>969</v>
      </c>
      <c r="H13" s="19"/>
      <c r="I13" s="19"/>
      <c r="J13" s="19"/>
      <c r="K13" s="19"/>
    </row>
    <row r="14" spans="1:11">
      <c r="B14" s="3">
        <f>1/12</f>
        <v>8.3333333333333329E-2</v>
      </c>
      <c r="C14" t="s">
        <v>1617</v>
      </c>
      <c r="D14" s="18">
        <v>0.13</v>
      </c>
      <c r="H14" s="17">
        <v>6.2E-2</v>
      </c>
      <c r="I14" s="17">
        <v>5</v>
      </c>
      <c r="J14" s="17"/>
    </row>
    <row r="15" spans="1:11">
      <c r="D15">
        <f>COUNTIF(D3:D13,"N")+1</f>
        <v>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11629-D2C3-2540-8484-4C46349BE7EA}">
  <sheetPr>
    <tabColor rgb="FFEEE9AC"/>
  </sheetPr>
  <dimension ref="A1:J20"/>
  <sheetViews>
    <sheetView workbookViewId="0">
      <selection activeCell="D19" sqref="D1:D19"/>
    </sheetView>
  </sheetViews>
  <sheetFormatPr baseColWidth="10" defaultRowHeight="16"/>
  <sheetData>
    <row r="1" spans="1:10">
      <c r="A1" s="6" t="s">
        <v>0</v>
      </c>
      <c r="B1" s="6" t="s">
        <v>2</v>
      </c>
      <c r="C1" s="6" t="s">
        <v>215</v>
      </c>
      <c r="D1" s="6" t="s">
        <v>1616</v>
      </c>
      <c r="E1" s="6" t="s">
        <v>527</v>
      </c>
      <c r="F1" s="6" t="s">
        <v>5</v>
      </c>
      <c r="G1" s="6" t="s">
        <v>6</v>
      </c>
      <c r="H1" s="6" t="s">
        <v>528</v>
      </c>
      <c r="I1" s="6" t="s">
        <v>1392</v>
      </c>
      <c r="J1" s="6" t="s">
        <v>1148</v>
      </c>
    </row>
    <row r="2" spans="1:10">
      <c r="A2" s="6" t="s">
        <v>529</v>
      </c>
      <c r="B2" s="6" t="s">
        <v>10</v>
      </c>
      <c r="C2" s="7">
        <v>43888</v>
      </c>
      <c r="D2" s="7"/>
      <c r="E2" s="6" t="s">
        <v>530</v>
      </c>
      <c r="F2" s="6" t="s">
        <v>531</v>
      </c>
      <c r="G2" s="6" t="s">
        <v>532</v>
      </c>
      <c r="H2" s="6">
        <v>1.2629999999999999</v>
      </c>
      <c r="I2" s="6">
        <v>3.9</v>
      </c>
      <c r="J2" t="s">
        <v>1393</v>
      </c>
    </row>
    <row r="3" spans="1:10">
      <c r="A3" s="6" t="s">
        <v>533</v>
      </c>
      <c r="B3" s="6" t="s">
        <v>10</v>
      </c>
      <c r="C3" s="7">
        <v>44994</v>
      </c>
      <c r="D3" s="7"/>
      <c r="E3" s="6" t="s">
        <v>534</v>
      </c>
      <c r="F3" s="6" t="s">
        <v>535</v>
      </c>
      <c r="G3" s="6" t="s">
        <v>536</v>
      </c>
      <c r="H3" s="6">
        <v>0.4</v>
      </c>
      <c r="I3" s="6"/>
    </row>
    <row r="4" spans="1:10">
      <c r="A4" s="6" t="s">
        <v>537</v>
      </c>
      <c r="B4" s="6" t="s">
        <v>72</v>
      </c>
      <c r="C4" s="6"/>
      <c r="D4" t="s">
        <v>10</v>
      </c>
      <c r="E4" s="6" t="s">
        <v>538</v>
      </c>
      <c r="F4" s="6" t="s">
        <v>539</v>
      </c>
      <c r="G4" s="6" t="s">
        <v>540</v>
      </c>
      <c r="H4" s="6"/>
      <c r="I4" s="6"/>
    </row>
    <row r="5" spans="1:10">
      <c r="A5" s="6" t="s">
        <v>541</v>
      </c>
      <c r="B5" s="6" t="s">
        <v>72</v>
      </c>
      <c r="C5" s="6"/>
      <c r="D5" t="s">
        <v>72</v>
      </c>
      <c r="E5" s="6" t="s">
        <v>542</v>
      </c>
      <c r="F5" s="6" t="s">
        <v>543</v>
      </c>
      <c r="G5" s="6" t="s">
        <v>544</v>
      </c>
      <c r="H5" s="6"/>
      <c r="I5" s="6"/>
    </row>
    <row r="6" spans="1:10">
      <c r="A6" s="6" t="s">
        <v>545</v>
      </c>
      <c r="B6" s="6" t="s">
        <v>72</v>
      </c>
      <c r="C6" s="6"/>
      <c r="D6" t="s">
        <v>72</v>
      </c>
      <c r="E6" s="6"/>
      <c r="F6" s="6" t="s">
        <v>546</v>
      </c>
      <c r="G6" s="6" t="s">
        <v>547</v>
      </c>
      <c r="H6" s="6"/>
      <c r="I6" s="6"/>
    </row>
    <row r="7" spans="1:10">
      <c r="A7" s="6" t="s">
        <v>548</v>
      </c>
      <c r="B7" s="6" t="s">
        <v>72</v>
      </c>
      <c r="C7" s="6"/>
      <c r="D7" t="s">
        <v>72</v>
      </c>
      <c r="E7" s="6"/>
      <c r="F7" s="6" t="s">
        <v>549</v>
      </c>
      <c r="G7" s="6" t="s">
        <v>550</v>
      </c>
      <c r="H7" s="6"/>
      <c r="I7" s="6"/>
    </row>
    <row r="8" spans="1:10">
      <c r="A8" s="6" t="s">
        <v>551</v>
      </c>
      <c r="B8" s="6" t="s">
        <v>72</v>
      </c>
      <c r="C8" s="6"/>
      <c r="D8" t="s">
        <v>10</v>
      </c>
      <c r="E8" s="6" t="s">
        <v>552</v>
      </c>
      <c r="F8" s="6" t="s">
        <v>553</v>
      </c>
      <c r="G8" s="6" t="s">
        <v>554</v>
      </c>
      <c r="H8" s="6"/>
      <c r="I8" s="6"/>
    </row>
    <row r="9" spans="1:10">
      <c r="A9" s="6" t="s">
        <v>555</v>
      </c>
      <c r="B9" s="6" t="s">
        <v>72</v>
      </c>
      <c r="C9" s="6"/>
      <c r="D9" t="s">
        <v>10</v>
      </c>
      <c r="E9" s="6" t="s">
        <v>556</v>
      </c>
      <c r="F9" s="6" t="s">
        <v>557</v>
      </c>
      <c r="G9" s="6" t="s">
        <v>558</v>
      </c>
      <c r="H9" s="6"/>
      <c r="I9" s="6"/>
    </row>
    <row r="10" spans="1:10">
      <c r="A10" s="6" t="s">
        <v>559</v>
      </c>
      <c r="B10" s="6" t="s">
        <v>72</v>
      </c>
      <c r="C10" s="6"/>
      <c r="D10" t="s">
        <v>72</v>
      </c>
      <c r="E10" s="6" t="s">
        <v>560</v>
      </c>
      <c r="F10" s="6" t="s">
        <v>561</v>
      </c>
      <c r="G10" s="6" t="s">
        <v>562</v>
      </c>
      <c r="H10" s="6"/>
      <c r="I10" s="6"/>
    </row>
    <row r="11" spans="1:10">
      <c r="A11" s="6" t="s">
        <v>563</v>
      </c>
      <c r="B11" s="6" t="s">
        <v>72</v>
      </c>
      <c r="C11" s="6"/>
      <c r="D11" t="s">
        <v>10</v>
      </c>
      <c r="E11" s="6" t="s">
        <v>564</v>
      </c>
      <c r="F11" s="6" t="s">
        <v>565</v>
      </c>
      <c r="G11" s="6" t="s">
        <v>566</v>
      </c>
      <c r="H11" s="6"/>
      <c r="I11" s="6"/>
    </row>
    <row r="12" spans="1:10">
      <c r="A12" s="6" t="s">
        <v>567</v>
      </c>
      <c r="B12" s="6" t="s">
        <v>72</v>
      </c>
      <c r="C12" s="6"/>
      <c r="D12" t="s">
        <v>10</v>
      </c>
      <c r="E12" s="6" t="s">
        <v>568</v>
      </c>
      <c r="F12" s="6" t="s">
        <v>569</v>
      </c>
      <c r="G12" s="6" t="s">
        <v>570</v>
      </c>
      <c r="H12" s="6"/>
      <c r="I12" s="6"/>
    </row>
    <row r="13" spans="1:10">
      <c r="A13" s="6" t="s">
        <v>571</v>
      </c>
      <c r="B13" s="6" t="s">
        <v>72</v>
      </c>
      <c r="C13" s="6"/>
      <c r="D13" t="s">
        <v>72</v>
      </c>
      <c r="E13" s="6"/>
      <c r="F13" s="6" t="s">
        <v>572</v>
      </c>
      <c r="G13" s="6" t="s">
        <v>573</v>
      </c>
      <c r="H13" s="6"/>
      <c r="I13" s="6"/>
    </row>
    <row r="14" spans="1:10">
      <c r="A14" s="6" t="s">
        <v>574</v>
      </c>
      <c r="B14" s="6" t="s">
        <v>72</v>
      </c>
      <c r="C14" s="6"/>
      <c r="D14" t="s">
        <v>10</v>
      </c>
      <c r="E14" s="6" t="s">
        <v>575</v>
      </c>
      <c r="F14" s="6" t="s">
        <v>576</v>
      </c>
      <c r="G14" s="6" t="s">
        <v>577</v>
      </c>
      <c r="H14" s="6"/>
      <c r="I14" s="6"/>
    </row>
    <row r="15" spans="1:10">
      <c r="A15" s="6" t="s">
        <v>578</v>
      </c>
      <c r="B15" s="6" t="s">
        <v>72</v>
      </c>
      <c r="C15" s="6"/>
      <c r="D15" t="s">
        <v>10</v>
      </c>
      <c r="E15" s="6" t="s">
        <v>579</v>
      </c>
      <c r="F15" s="6" t="s">
        <v>580</v>
      </c>
      <c r="G15" s="6" t="s">
        <v>581</v>
      </c>
      <c r="H15" s="6"/>
      <c r="I15" s="6"/>
    </row>
    <row r="16" spans="1:10">
      <c r="A16" s="6" t="s">
        <v>582</v>
      </c>
      <c r="B16" s="6" t="s">
        <v>72</v>
      </c>
      <c r="C16" s="6"/>
      <c r="D16" t="s">
        <v>10</v>
      </c>
      <c r="E16" s="6" t="s">
        <v>583</v>
      </c>
      <c r="F16" s="6" t="s">
        <v>584</v>
      </c>
      <c r="G16" s="6" t="s">
        <v>585</v>
      </c>
      <c r="H16" s="6"/>
      <c r="I16" s="6"/>
    </row>
    <row r="17" spans="1:10">
      <c r="A17" s="24" t="s">
        <v>586</v>
      </c>
      <c r="B17" s="24" t="s">
        <v>72</v>
      </c>
      <c r="C17" s="24"/>
      <c r="D17" t="s">
        <v>10</v>
      </c>
      <c r="E17" s="24" t="s">
        <v>587</v>
      </c>
      <c r="F17" s="24" t="s">
        <v>588</v>
      </c>
      <c r="G17" s="24" t="s">
        <v>589</v>
      </c>
      <c r="H17" s="24"/>
      <c r="I17" s="24"/>
      <c r="J17" s="19"/>
    </row>
    <row r="18" spans="1:10">
      <c r="A18" s="6"/>
      <c r="B18" s="15">
        <f>2/16</f>
        <v>0.125</v>
      </c>
      <c r="C18" s="6"/>
      <c r="D18" s="30">
        <v>0.28000000000000003</v>
      </c>
      <c r="E18" s="6"/>
      <c r="F18" s="6"/>
      <c r="G18" s="6"/>
      <c r="H18" s="17">
        <f>MEDIAN(H2:H3)</f>
        <v>0.83149999999999991</v>
      </c>
      <c r="I18" s="17">
        <f>MEDIAN(I2:I3)</f>
        <v>3.9</v>
      </c>
    </row>
    <row r="19" spans="1:10">
      <c r="A19" s="6"/>
      <c r="B19" s="6"/>
      <c r="C19" s="6"/>
      <c r="D19" s="6">
        <f>COUNTIF(D4:D17,"N")+2</f>
        <v>7</v>
      </c>
      <c r="E19" s="6"/>
      <c r="F19" s="6"/>
      <c r="G19" s="6"/>
      <c r="H19" s="6"/>
      <c r="I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2281D-4A75-9A45-90BF-F059C6028D15}">
  <sheetPr>
    <tabColor rgb="FFEEE9AC"/>
  </sheetPr>
  <dimension ref="A1:M18"/>
  <sheetViews>
    <sheetView workbookViewId="0">
      <selection activeCell="D18" sqref="D18"/>
    </sheetView>
  </sheetViews>
  <sheetFormatPr baseColWidth="10" defaultRowHeight="16"/>
  <sheetData>
    <row r="1" spans="1:13">
      <c r="A1" t="s">
        <v>0</v>
      </c>
      <c r="B1" t="s">
        <v>2</v>
      </c>
      <c r="C1" t="s">
        <v>458</v>
      </c>
      <c r="E1" t="s">
        <v>459</v>
      </c>
      <c r="F1" t="s">
        <v>5</v>
      </c>
      <c r="G1" t="s">
        <v>6</v>
      </c>
      <c r="H1" t="s">
        <v>460</v>
      </c>
      <c r="I1" t="s">
        <v>1402</v>
      </c>
      <c r="K1" t="s">
        <v>785</v>
      </c>
      <c r="L1" t="s">
        <v>786</v>
      </c>
    </row>
    <row r="2" spans="1:13">
      <c r="A2" t="s">
        <v>461</v>
      </c>
      <c r="B2" t="s">
        <v>10</v>
      </c>
      <c r="C2" t="s">
        <v>462</v>
      </c>
      <c r="F2" t="s">
        <v>463</v>
      </c>
      <c r="G2" t="s">
        <v>464</v>
      </c>
      <c r="H2">
        <v>7.1499999999999994E-2</v>
      </c>
      <c r="I2">
        <v>2.4</v>
      </c>
      <c r="J2">
        <v>2.4</v>
      </c>
      <c r="K2" t="s">
        <v>1599</v>
      </c>
      <c r="L2" t="s">
        <v>787</v>
      </c>
    </row>
    <row r="3" spans="1:13">
      <c r="A3" t="s">
        <v>465</v>
      </c>
      <c r="B3" t="s">
        <v>10</v>
      </c>
      <c r="C3" t="s">
        <v>466</v>
      </c>
      <c r="F3" t="s">
        <v>467</v>
      </c>
      <c r="G3" t="s">
        <v>468</v>
      </c>
      <c r="H3">
        <v>0</v>
      </c>
      <c r="I3">
        <v>0.05</v>
      </c>
      <c r="J3">
        <v>0</v>
      </c>
      <c r="K3" t="s">
        <v>1600</v>
      </c>
      <c r="L3" t="s">
        <v>789</v>
      </c>
      <c r="M3" t="s">
        <v>788</v>
      </c>
    </row>
    <row r="4" spans="1:13">
      <c r="A4" t="s">
        <v>1601</v>
      </c>
      <c r="B4" t="s">
        <v>10</v>
      </c>
      <c r="C4" t="s">
        <v>469</v>
      </c>
      <c r="E4" t="s">
        <v>470</v>
      </c>
      <c r="F4" t="s">
        <v>471</v>
      </c>
      <c r="G4" t="s">
        <v>472</v>
      </c>
      <c r="H4">
        <v>0</v>
      </c>
      <c r="I4">
        <v>0.32</v>
      </c>
      <c r="J4">
        <v>0</v>
      </c>
      <c r="K4" t="s">
        <v>1602</v>
      </c>
      <c r="L4" t="s">
        <v>791</v>
      </c>
      <c r="M4" t="s">
        <v>790</v>
      </c>
    </row>
    <row r="5" spans="1:13">
      <c r="A5" t="s">
        <v>473</v>
      </c>
      <c r="B5" t="s">
        <v>72</v>
      </c>
      <c r="D5" t="s">
        <v>72</v>
      </c>
      <c r="E5" t="s">
        <v>474</v>
      </c>
      <c r="F5" t="s">
        <v>475</v>
      </c>
      <c r="G5" t="s">
        <v>476</v>
      </c>
    </row>
    <row r="6" spans="1:13">
      <c r="A6" t="s">
        <v>477</v>
      </c>
      <c r="B6" t="s">
        <v>72</v>
      </c>
      <c r="D6" t="s">
        <v>72</v>
      </c>
      <c r="E6" t="s">
        <v>478</v>
      </c>
      <c r="F6" t="s">
        <v>1568</v>
      </c>
      <c r="G6" t="s">
        <v>479</v>
      </c>
    </row>
    <row r="7" spans="1:13">
      <c r="A7" t="s">
        <v>480</v>
      </c>
      <c r="B7" t="s">
        <v>72</v>
      </c>
      <c r="D7" t="s">
        <v>72</v>
      </c>
      <c r="E7" t="s">
        <v>481</v>
      </c>
      <c r="F7" t="s">
        <v>482</v>
      </c>
      <c r="G7" t="s">
        <v>483</v>
      </c>
    </row>
    <row r="8" spans="1:13">
      <c r="A8" t="s">
        <v>484</v>
      </c>
      <c r="B8" t="s">
        <v>72</v>
      </c>
      <c r="D8" t="s">
        <v>72</v>
      </c>
      <c r="E8" t="s">
        <v>1603</v>
      </c>
      <c r="F8" t="s">
        <v>485</v>
      </c>
      <c r="G8" t="s">
        <v>486</v>
      </c>
    </row>
    <row r="9" spans="1:13">
      <c r="A9" t="s">
        <v>487</v>
      </c>
      <c r="B9" t="s">
        <v>72</v>
      </c>
      <c r="D9" t="s">
        <v>72</v>
      </c>
      <c r="E9" t="s">
        <v>488</v>
      </c>
      <c r="F9" t="s">
        <v>489</v>
      </c>
      <c r="G9" t="s">
        <v>490</v>
      </c>
    </row>
    <row r="10" spans="1:13">
      <c r="A10" t="s">
        <v>491</v>
      </c>
      <c r="B10" t="s">
        <v>72</v>
      </c>
      <c r="D10" t="s">
        <v>10</v>
      </c>
      <c r="E10" t="s">
        <v>492</v>
      </c>
      <c r="F10" t="s">
        <v>493</v>
      </c>
      <c r="G10" t="s">
        <v>1604</v>
      </c>
    </row>
    <row r="11" spans="1:13">
      <c r="A11" t="s">
        <v>494</v>
      </c>
      <c r="B11" t="s">
        <v>72</v>
      </c>
      <c r="D11" t="s">
        <v>72</v>
      </c>
      <c r="E11" t="s">
        <v>495</v>
      </c>
      <c r="F11" t="s">
        <v>496</v>
      </c>
      <c r="G11" t="s">
        <v>1569</v>
      </c>
    </row>
    <row r="12" spans="1:13">
      <c r="A12" t="s">
        <v>497</v>
      </c>
      <c r="B12" t="s">
        <v>72</v>
      </c>
      <c r="D12" t="s">
        <v>10</v>
      </c>
      <c r="E12" t="s">
        <v>498</v>
      </c>
      <c r="F12" t="s">
        <v>499</v>
      </c>
      <c r="G12" t="s">
        <v>1570</v>
      </c>
    </row>
    <row r="13" spans="1:13">
      <c r="A13" t="s">
        <v>500</v>
      </c>
      <c r="B13" t="s">
        <v>72</v>
      </c>
      <c r="D13" t="s">
        <v>10</v>
      </c>
      <c r="E13" t="s">
        <v>501</v>
      </c>
      <c r="F13" t="s">
        <v>1605</v>
      </c>
      <c r="G13" t="s">
        <v>502</v>
      </c>
    </row>
    <row r="14" spans="1:13">
      <c r="A14" t="s">
        <v>503</v>
      </c>
      <c r="B14" t="s">
        <v>72</v>
      </c>
      <c r="D14" t="s">
        <v>10</v>
      </c>
      <c r="E14" t="s">
        <v>504</v>
      </c>
      <c r="F14" t="s">
        <v>1571</v>
      </c>
      <c r="G14" t="s">
        <v>1572</v>
      </c>
    </row>
    <row r="15" spans="1:13">
      <c r="A15" t="s">
        <v>505</v>
      </c>
      <c r="B15" t="s">
        <v>72</v>
      </c>
      <c r="D15" t="s">
        <v>72</v>
      </c>
      <c r="E15" t="s">
        <v>506</v>
      </c>
      <c r="F15" t="s">
        <v>507</v>
      </c>
      <c r="G15" t="s">
        <v>508</v>
      </c>
    </row>
    <row r="16" spans="1:13">
      <c r="A16" s="19" t="s">
        <v>509</v>
      </c>
      <c r="B16" s="19" t="s">
        <v>72</v>
      </c>
      <c r="C16" s="19"/>
      <c r="D16" t="s">
        <v>72</v>
      </c>
      <c r="E16" s="19" t="s">
        <v>1606</v>
      </c>
      <c r="F16" s="19" t="s">
        <v>510</v>
      </c>
      <c r="G16" s="19" t="s">
        <v>511</v>
      </c>
      <c r="H16" s="19"/>
      <c r="I16" s="19"/>
      <c r="J16" s="19"/>
      <c r="K16" s="19"/>
      <c r="L16" s="19"/>
      <c r="M16" s="19"/>
    </row>
    <row r="17" spans="2:11">
      <c r="B17" s="3">
        <f>3/15</f>
        <v>0.2</v>
      </c>
      <c r="D17" s="18">
        <v>0.27</v>
      </c>
      <c r="G17" t="s">
        <v>1421</v>
      </c>
      <c r="H17" s="17">
        <f>AVERAGE(H2:H4)</f>
        <v>2.3833333333333331E-2</v>
      </c>
      <c r="I17" s="17">
        <f>AVERAGE(I2:I4)</f>
        <v>0.92333333333333323</v>
      </c>
      <c r="J17" s="17">
        <f>AVERAGE(J2:J4)</f>
        <v>0.79999999999999993</v>
      </c>
      <c r="K17" s="17"/>
    </row>
    <row r="18" spans="2:11">
      <c r="D18">
        <f>COUNTIF(D5:D16,"N")+3</f>
        <v>11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119DF-8E73-914F-980F-B5D1BA46F0AD}">
  <sheetPr>
    <tabColor rgb="FFEEE9AC"/>
  </sheetPr>
  <dimension ref="A1:G5"/>
  <sheetViews>
    <sheetView workbookViewId="0">
      <selection activeCell="K17" sqref="K17"/>
    </sheetView>
  </sheetViews>
  <sheetFormatPr baseColWidth="10" defaultRowHeight="16"/>
  <sheetData>
    <row r="1" spans="1:7">
      <c r="A1" t="s">
        <v>0</v>
      </c>
      <c r="B1" t="s">
        <v>2</v>
      </c>
      <c r="C1" t="s">
        <v>430</v>
      </c>
      <c r="D1" t="s">
        <v>431</v>
      </c>
      <c r="E1" t="s">
        <v>5</v>
      </c>
      <c r="F1" t="s">
        <v>6</v>
      </c>
      <c r="G1" t="s">
        <v>432</v>
      </c>
    </row>
    <row r="2" spans="1:7">
      <c r="A2" t="s">
        <v>1573</v>
      </c>
      <c r="B2" t="s">
        <v>72</v>
      </c>
      <c r="D2" t="s">
        <v>433</v>
      </c>
      <c r="E2" t="s">
        <v>1574</v>
      </c>
      <c r="F2" t="s">
        <v>1575</v>
      </c>
      <c r="G2" t="s">
        <v>434</v>
      </c>
    </row>
    <row r="3" spans="1:7">
      <c r="A3" t="s">
        <v>435</v>
      </c>
      <c r="B3" t="s">
        <v>72</v>
      </c>
      <c r="D3" t="s">
        <v>436</v>
      </c>
      <c r="E3" t="s">
        <v>1607</v>
      </c>
      <c r="F3" t="s">
        <v>437</v>
      </c>
      <c r="G3" t="s">
        <v>434</v>
      </c>
    </row>
    <row r="4" spans="1:7">
      <c r="A4" t="s">
        <v>438</v>
      </c>
      <c r="B4" t="s">
        <v>72</v>
      </c>
      <c r="D4" t="s">
        <v>439</v>
      </c>
      <c r="E4" t="s">
        <v>1608</v>
      </c>
      <c r="F4" t="s">
        <v>1576</v>
      </c>
      <c r="G4" t="s">
        <v>434</v>
      </c>
    </row>
    <row r="5" spans="1:7">
      <c r="A5" t="s">
        <v>1577</v>
      </c>
      <c r="B5" t="s">
        <v>72</v>
      </c>
      <c r="D5" t="s">
        <v>440</v>
      </c>
      <c r="E5" t="s">
        <v>1578</v>
      </c>
      <c r="F5" t="s">
        <v>441</v>
      </c>
      <c r="G5" t="s">
        <v>434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3A6E4-EC44-4245-8CA7-0805B0AEFAB4}">
  <sheetPr>
    <tabColor rgb="FFEEE9AC"/>
  </sheetPr>
  <dimension ref="A1:G5"/>
  <sheetViews>
    <sheetView workbookViewId="0">
      <selection activeCell="K17" sqref="K17"/>
    </sheetView>
  </sheetViews>
  <sheetFormatPr baseColWidth="10" defaultRowHeight="16"/>
  <sheetData>
    <row r="1" spans="1:7">
      <c r="A1" t="s">
        <v>442</v>
      </c>
      <c r="B1" t="s">
        <v>2</v>
      </c>
      <c r="C1" t="s">
        <v>430</v>
      </c>
      <c r="D1" t="s">
        <v>431</v>
      </c>
      <c r="E1" t="s">
        <v>5</v>
      </c>
      <c r="F1" t="s">
        <v>6</v>
      </c>
      <c r="G1" t="s">
        <v>443</v>
      </c>
    </row>
    <row r="2" spans="1:7">
      <c r="A2" t="s">
        <v>444</v>
      </c>
      <c r="B2" t="s">
        <v>72</v>
      </c>
      <c r="D2" t="s">
        <v>445</v>
      </c>
      <c r="E2" t="s">
        <v>446</v>
      </c>
      <c r="F2" t="s">
        <v>447</v>
      </c>
    </row>
    <row r="3" spans="1:7">
      <c r="A3" t="s">
        <v>448</v>
      </c>
      <c r="B3" t="s">
        <v>72</v>
      </c>
      <c r="D3" t="s">
        <v>449</v>
      </c>
      <c r="E3" t="s">
        <v>450</v>
      </c>
      <c r="F3" t="s">
        <v>451</v>
      </c>
    </row>
    <row r="4" spans="1:7">
      <c r="A4" t="s">
        <v>452</v>
      </c>
      <c r="B4" t="s">
        <v>72</v>
      </c>
      <c r="D4" t="s">
        <v>453</v>
      </c>
      <c r="E4" t="s">
        <v>454</v>
      </c>
      <c r="F4" t="s">
        <v>455</v>
      </c>
    </row>
    <row r="5" spans="1:7">
      <c r="A5" t="s">
        <v>456</v>
      </c>
      <c r="B5" t="s">
        <v>72</v>
      </c>
      <c r="D5" t="s">
        <v>457</v>
      </c>
      <c r="E5" t="s">
        <v>1579</v>
      </c>
      <c r="F5" t="s">
        <v>1580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E1F50-D61C-9A41-B5C3-035DA7946EDA}">
  <sheetPr>
    <tabColor rgb="FFEEE9AC"/>
  </sheetPr>
  <dimension ref="A1:G6"/>
  <sheetViews>
    <sheetView workbookViewId="0">
      <selection activeCell="K17" sqref="K17"/>
    </sheetView>
  </sheetViews>
  <sheetFormatPr baseColWidth="10" defaultRowHeight="16"/>
  <sheetData>
    <row r="1" spans="1:7">
      <c r="A1" t="s">
        <v>0</v>
      </c>
      <c r="B1" t="s">
        <v>2</v>
      </c>
      <c r="C1" t="s">
        <v>430</v>
      </c>
      <c r="D1" t="s">
        <v>512</v>
      </c>
      <c r="E1" t="s">
        <v>5</v>
      </c>
      <c r="F1" t="s">
        <v>6</v>
      </c>
      <c r="G1" t="s">
        <v>432</v>
      </c>
    </row>
    <row r="2" spans="1:7">
      <c r="A2" t="s">
        <v>513</v>
      </c>
      <c r="B2" t="s">
        <v>72</v>
      </c>
      <c r="D2" t="s">
        <v>514</v>
      </c>
      <c r="E2" t="s">
        <v>1581</v>
      </c>
      <c r="F2" t="s">
        <v>301</v>
      </c>
    </row>
    <row r="3" spans="1:7">
      <c r="A3" t="s">
        <v>515</v>
      </c>
      <c r="B3" t="s">
        <v>72</v>
      </c>
      <c r="D3" t="s">
        <v>516</v>
      </c>
      <c r="E3" t="s">
        <v>517</v>
      </c>
      <c r="F3" t="s">
        <v>518</v>
      </c>
    </row>
    <row r="4" spans="1:7">
      <c r="A4" t="s">
        <v>1582</v>
      </c>
      <c r="B4" t="s">
        <v>72</v>
      </c>
      <c r="D4" t="s">
        <v>519</v>
      </c>
      <c r="E4" t="s">
        <v>1583</v>
      </c>
      <c r="F4" t="s">
        <v>520</v>
      </c>
    </row>
    <row r="5" spans="1:7">
      <c r="A5" t="s">
        <v>521</v>
      </c>
      <c r="B5" t="s">
        <v>72</v>
      </c>
      <c r="D5" t="s">
        <v>522</v>
      </c>
      <c r="E5" t="s">
        <v>1584</v>
      </c>
      <c r="F5" t="s">
        <v>523</v>
      </c>
    </row>
    <row r="6" spans="1:7">
      <c r="A6" t="s">
        <v>524</v>
      </c>
      <c r="B6" t="s">
        <v>72</v>
      </c>
      <c r="D6" t="s">
        <v>525</v>
      </c>
      <c r="E6" t="s">
        <v>1585</v>
      </c>
      <c r="F6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Master</vt:lpstr>
      <vt:lpstr>Genentech</vt:lpstr>
      <vt:lpstr>Regeneron</vt:lpstr>
      <vt:lpstr>Moderna</vt:lpstr>
      <vt:lpstr>Seagen</vt:lpstr>
      <vt:lpstr>Alnylam</vt:lpstr>
      <vt:lpstr>Ionis</vt:lpstr>
      <vt:lpstr>Amgen</vt:lpstr>
      <vt:lpstr>Biogen</vt:lpstr>
      <vt:lpstr>Vertex</vt:lpstr>
      <vt:lpstr>Agios</vt:lpstr>
      <vt:lpstr>Millennium</vt:lpstr>
      <vt:lpstr>RelayTx</vt:lpstr>
      <vt:lpstr>DERES</vt:lpstr>
      <vt:lpstr>Roivant</vt:lpstr>
      <vt:lpstr>PureTech</vt:lpstr>
      <vt:lpstr>Biohaven</vt:lpstr>
      <vt:lpstr>BridgeBio</vt:lpstr>
      <vt:lpstr>ElevateBio</vt:lpstr>
      <vt:lpstr>Nimbus</vt:lpstr>
      <vt:lpstr>Gossamer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Mackenzie Morehead</dc:creator>
  <cp:lastModifiedBy>Mackenzie Morehead</cp:lastModifiedBy>
  <dcterms:created xsi:type="dcterms:W3CDTF">2025-09-04T18:48:07Z</dcterms:created>
  <dcterms:modified xsi:type="dcterms:W3CDTF">2025-09-27T02:40:28Z</dcterms:modified>
</cp:coreProperties>
</file>